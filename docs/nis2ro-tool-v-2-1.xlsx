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AcestRegistruDeLucru"/>
  <mc:AlternateContent xmlns:mc="http://schemas.openxmlformats.org/markup-compatibility/2006">
    <mc:Choice Requires="x15">
      <x15ac:absPath xmlns:x15ac="http://schemas.microsoft.com/office/spreadsheetml/2010/11/ac" url="C:\Users\GabrielNiculescu\Desktop\Instrumentul NIS@RO Final\ENG\"/>
    </mc:Choice>
  </mc:AlternateContent>
  <xr:revisionPtr revIDLastSave="0" documentId="13_ncr:1_{1030BC8D-2481-486C-AF8B-858F508873F5}" xr6:coauthVersionLast="47" xr6:coauthVersionMax="47" xr10:uidLastSave="{00000000-0000-0000-0000-000000000000}"/>
  <workbookProtection workbookAlgorithmName="SHA-512" workbookHashValue="pFbqvRUKmvhJXMS1mRywQOSuNLUgN5geHtlq69343tuWq9erJptiYfqKgvJyYTrAIykOkRi+AA0fnFiFnnvmLw==" workbookSaltValue="C8iZPDxDLNmOTOihuOQ/zw==" workbookSpinCount="100000" lockStructure="1"/>
  <bookViews>
    <workbookView xWindow="-108" yWindow="-108" windowWidth="23256" windowHeight="13896" tabRatio="800" activeTab="4" xr2:uid="{00000000-000D-0000-FFFF-FFFF00000000}"/>
  </bookViews>
  <sheets>
    <sheet name="Introduction" sheetId="30" r:id="rId1"/>
    <sheet name="User instructions" sheetId="28" r:id="rId2"/>
    <sheet name="Entity data" sheetId="33" r:id="rId3"/>
    <sheet name="Entity assessment" sheetId="15" r:id="rId4"/>
    <sheet name="Notification form" sheetId="37" r:id="rId5"/>
    <sheet name="Liste" sheetId="17" state="hidden" r:id="rId6"/>
    <sheet name="Ajutor" sheetId="36" state="hidden" r:id="rId7"/>
    <sheet name="Algoritm clasificare" sheetId="38" state="hidden" r:id="rId8"/>
  </sheets>
  <definedNames>
    <definedName name="_xlnm._FilterDatabase" localSheetId="4" hidden="1">'Notification form'!$C$33:$D$35</definedName>
    <definedName name="_Hlk67577761" localSheetId="0">#REF!</definedName>
    <definedName name="_Hlk67577761">#REF!</definedName>
    <definedName name="_xlnm.Print_Area" localSheetId="7">'Algoritm clasificare'!$A$1:$N$25</definedName>
    <definedName name="_xlnm.Print_Area" localSheetId="3">'Entity assessment'!$B$1:$E$187</definedName>
    <definedName name="_xlnm.Print_Area" localSheetId="2">'Entity data'!$B$1:$G$85</definedName>
    <definedName name="_xlnm.Print_Area" localSheetId="0">Introduction!$B$2:$L$20</definedName>
    <definedName name="_xlnm.Print_Area" localSheetId="4">'Notification form'!$B$1:$E$123</definedName>
    <definedName name="_xlnm.Print_Area" localSheetId="1">'User instructions'!$B$1:$Q$48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33" l="1"/>
  <c r="P2" i="28"/>
  <c r="C22" i="15"/>
  <c r="C89" i="37"/>
  <c r="D26" i="37"/>
  <c r="D25" i="37"/>
  <c r="D28" i="37"/>
  <c r="C14" i="37"/>
  <c r="D20" i="15"/>
  <c r="C97" i="37" l="1" a="1"/>
  <c r="C97" i="37" s="1"/>
  <c r="C60" i="37"/>
  <c r="C21" i="37"/>
  <c r="C120" i="37"/>
  <c r="C161" i="15" l="1"/>
  <c r="C12" i="38"/>
  <c r="M17" i="38" s="1"/>
  <c r="C11" i="38"/>
  <c r="M16" i="38" s="1"/>
  <c r="C9" i="38"/>
  <c r="K9" i="38" s="1"/>
  <c r="C8" i="38"/>
  <c r="K8" i="38" s="1"/>
  <c r="C7" i="38"/>
  <c r="K7" i="38" s="1"/>
  <c r="C6" i="38"/>
  <c r="G6" i="38" s="1"/>
  <c r="C5" i="38"/>
  <c r="K5" i="38" s="1"/>
  <c r="C4" i="38"/>
  <c r="C3" i="38"/>
  <c r="K3" i="38" s="1"/>
  <c r="C2" i="38"/>
  <c r="G18" i="38" s="1"/>
  <c r="C163" i="15"/>
  <c r="I5" i="38" l="1"/>
  <c r="I18" i="38"/>
  <c r="K6" i="38"/>
  <c r="H18" i="38"/>
  <c r="G8" i="38"/>
  <c r="I8" i="38"/>
  <c r="K11" i="38"/>
  <c r="K12" i="38"/>
  <c r="K4" i="38"/>
  <c r="F18" i="38"/>
  <c r="I9" i="38"/>
  <c r="E18" i="38"/>
  <c r="B2" i="36" a="1"/>
  <c r="B2" i="36" s="1"/>
  <c r="C121" i="37"/>
  <c r="C63" i="37"/>
  <c r="C62" i="37"/>
  <c r="C20" i="37"/>
  <c r="C18" i="37"/>
  <c r="C17" i="37"/>
  <c r="C16" i="37"/>
  <c r="C15" i="37"/>
  <c r="C13" i="37"/>
  <c r="M2" i="38" l="1"/>
  <c r="C11" i="36"/>
  <c r="C12" i="36"/>
  <c r="C13" i="36"/>
  <c r="C14" i="36"/>
  <c r="C15" i="36"/>
  <c r="C16" i="36"/>
  <c r="C17" i="36"/>
  <c r="C18" i="36"/>
  <c r="C7" i="36"/>
  <c r="C8" i="36"/>
  <c r="C9" i="36"/>
  <c r="C10" i="36"/>
  <c r="L2" i="38" l="1"/>
  <c r="L17" i="38" s="1"/>
  <c r="D2" i="15"/>
  <c r="C166" i="15" l="1"/>
  <c r="J18" i="38" s="1"/>
  <c r="C88" i="37"/>
  <c r="C8" i="37" l="1"/>
  <c r="C9" i="37"/>
  <c r="C117" i="37" s="1"/>
  <c r="C10" i="37"/>
  <c r="C11" i="37"/>
  <c r="C91" i="37"/>
  <c r="C90" i="37"/>
  <c r="C92" i="37"/>
  <c r="M15" i="38" l="1"/>
  <c r="L15" i="38" s="1"/>
  <c r="M14" i="38"/>
  <c r="C69" i="37"/>
  <c r="C78" i="37"/>
  <c r="C61" i="37"/>
  <c r="L14" i="38" l="1"/>
  <c r="L16" i="38" s="1"/>
  <c r="D176" i="15" s="1"/>
  <c r="D88" i="37"/>
  <c r="C83" i="37" l="1"/>
  <c r="D78" i="33" l="1"/>
  <c r="C112" i="37" l="1"/>
  <c r="C47" i="37" a="1"/>
  <c r="C47" i="37" s="1"/>
  <c r="D46" i="37" l="1"/>
  <c r="D27" i="37"/>
  <c r="E166" i="15" l="1"/>
  <c r="N46" i="17"/>
  <c r="N47" i="17"/>
  <c r="N48" i="17"/>
  <c r="N49" i="17"/>
  <c r="N50" i="17"/>
  <c r="N45" i="17"/>
  <c r="N44" i="17"/>
  <c r="C82" i="37" l="1"/>
  <c r="C85" i="37"/>
  <c r="C84" i="37"/>
  <c r="C108" i="37"/>
  <c r="D122" i="37"/>
  <c r="C113" i="37"/>
  <c r="C109" i="37"/>
  <c r="C111" i="37"/>
  <c r="C74" i="37"/>
  <c r="C73" i="37"/>
  <c r="C72" i="37"/>
  <c r="C110" i="37" l="1"/>
  <c r="C114" i="37" l="1"/>
  <c r="D108" i="37"/>
  <c r="D107" i="37"/>
  <c r="C107" i="37"/>
  <c r="D104" i="37"/>
  <c r="D98" i="37"/>
  <c r="D81" i="37"/>
  <c r="D77" i="37"/>
  <c r="D71" i="37"/>
  <c r="D68" i="37"/>
  <c r="C68" i="37"/>
  <c r="D59" i="37"/>
  <c r="C59" i="37"/>
  <c r="C28" i="37"/>
  <c r="C27" i="37"/>
  <c r="C26" i="37"/>
  <c r="C25" i="37"/>
  <c r="C5" i="36"/>
  <c r="C6" i="36"/>
  <c r="F6" i="36" l="1"/>
  <c r="E6" i="36" s="1"/>
  <c r="L5" i="36"/>
  <c r="F5" i="36"/>
  <c r="E5" i="36" s="1"/>
  <c r="L6" i="36"/>
  <c r="D99" i="37"/>
  <c r="D100" i="37"/>
  <c r="D97" i="37"/>
  <c r="C4" i="36" l="1"/>
  <c r="C3" i="36"/>
  <c r="K6" i="36"/>
  <c r="K5" i="36"/>
  <c r="F4" i="36" l="1"/>
  <c r="E4" i="36" s="1"/>
  <c r="L4" i="36"/>
  <c r="K4" i="36" s="1"/>
  <c r="C2" i="36"/>
  <c r="D47" i="37" s="1" a="1"/>
  <c r="D47" i="37" s="1"/>
  <c r="F3" i="36"/>
  <c r="E3" i="36" s="1"/>
  <c r="L3" i="36"/>
  <c r="K3" i="36" s="1"/>
  <c r="L2" i="36" l="1"/>
  <c r="K2" i="36" s="1"/>
  <c r="N2" i="36" s="1" a="1"/>
  <c r="N2" i="36" s="1"/>
  <c r="F2" i="36"/>
  <c r="E2" i="36" s="1"/>
  <c r="C40" i="37" l="1" a="1"/>
  <c r="C40" i="37" s="1"/>
  <c r="D39" i="37" s="1"/>
  <c r="H2" i="36" a="1"/>
  <c r="H2" i="36" s="1"/>
  <c r="C33" i="37" l="1" a="1"/>
  <c r="C33" i="37" s="1"/>
  <c r="D32" i="37" s="1"/>
  <c r="E172" i="15"/>
  <c r="AN12" i="17"/>
  <c r="AN9" i="17"/>
  <c r="AN11" i="17" l="1"/>
  <c r="AN10" i="17"/>
  <c r="N43" i="17" l="1"/>
  <c r="N42" i="17"/>
  <c r="N41" i="17"/>
  <c r="N40" i="17"/>
  <c r="N39" i="17"/>
  <c r="N38" i="17"/>
  <c r="N37" i="17"/>
  <c r="N36" i="17"/>
  <c r="N35" i="17"/>
  <c r="N34" i="17"/>
  <c r="N33" i="17"/>
  <c r="N32" i="17"/>
  <c r="N31" i="17"/>
  <c r="N30" i="17"/>
  <c r="N29" i="17"/>
  <c r="N28" i="17"/>
  <c r="N27" i="17"/>
  <c r="N26" i="17"/>
  <c r="N25" i="17"/>
  <c r="N24" i="17"/>
  <c r="N23" i="17"/>
  <c r="N22" i="17"/>
  <c r="N21" i="17"/>
  <c r="N20" i="17"/>
  <c r="N19" i="17"/>
  <c r="N18" i="17"/>
  <c r="N17" i="17"/>
  <c r="N16" i="17"/>
  <c r="N15" i="17"/>
  <c r="N14" i="17"/>
  <c r="N13" i="17"/>
  <c r="N12" i="17"/>
  <c r="N11" i="17"/>
  <c r="N10" i="17"/>
  <c r="N9" i="17"/>
  <c r="N8" i="17"/>
  <c r="N7" i="17"/>
  <c r="N6" i="17"/>
  <c r="N5" i="17"/>
  <c r="N4" i="17"/>
  <c r="N3" i="17"/>
  <c r="D143" i="15" l="1"/>
  <c r="C165" i="15" l="1"/>
  <c r="D117" i="3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Gabriel Niculescu</author>
    <author>Constantin Calin</author>
  </authors>
  <commentList>
    <comment ref="F11" authorId="0" shapeId="0" xr:uid="{11A47D66-062D-41E3-B43F-1CA8FFA6CFF4}">
      <text>
        <r>
          <rPr>
            <sz val="9"/>
            <color indexed="81"/>
            <rFont val="Tahoma"/>
            <family val="2"/>
          </rPr>
          <t>In the event that the legal representative does not have a qualified electronic signature within the meaning of Article 3(12) of Regulation (EU) No. 910/2014 of the European Parliament and of the Council of July 23, 2014 on electronic identification and trust services for electronic transactions in the internal market and repealing Directive 1999/93/EC, or if it is not possible to send the notification form  by email, it may be printed, signed by hand, and sent  by a specialized postal and courier service with confirmation of receipt or submitted to the DNSC headquarters together with the attached documents.</t>
        </r>
      </text>
    </comment>
    <comment ref="D12" authorId="1" shapeId="0" xr:uid="{FE43EE1C-15D0-4F26-87F6-B08779FE27D0}">
      <text>
        <r>
          <rPr>
            <b/>
            <sz val="9"/>
            <color indexed="81"/>
            <rFont val="Aptos Narrow"/>
            <family val="2"/>
          </rPr>
          <t xml:space="preserve">Name of the entity. 
</t>
        </r>
        <r>
          <rPr>
            <sz val="9"/>
            <color indexed="81"/>
            <rFont val="Aptos Narrow"/>
            <family val="2"/>
          </rPr>
          <t>The full name of the entity shall be entered as stated in the constituent documents.</t>
        </r>
      </text>
    </comment>
    <comment ref="D13" authorId="1" shapeId="0" xr:uid="{7C3B0ABC-E9AE-423E-9A12-39D4727C93B8}">
      <text>
        <r>
          <rPr>
            <sz val="9"/>
            <color indexed="81"/>
            <rFont val="Aptos Narrow"/>
            <family val="2"/>
          </rPr>
          <t>The Unique Identification Code (or CIF for entities that do not have a CUI) shall be filled in according to the type of entity.
It shall be filled in without the attached tax attribute (RO or other letter prefix), i.e. ONLY the numerical part.</t>
        </r>
      </text>
    </comment>
    <comment ref="C14" authorId="1" shapeId="0" xr:uid="{9F5C1335-CFF0-4988-B250-CDA8EBC4235D}">
      <text>
        <r>
          <rPr>
            <b/>
            <sz val="9"/>
            <color indexed="81"/>
            <rFont val="Aptos Narrow"/>
            <family val="2"/>
          </rPr>
          <t xml:space="preserve">Trade register or similar.
</t>
        </r>
        <r>
          <rPr>
            <sz val="9"/>
            <color indexed="81"/>
            <rFont val="Aptos Narrow"/>
            <family val="2"/>
          </rPr>
          <t xml:space="preserve">The trade register or other registers shall be specified, namely the Register of Associations and Foundations; the Register of Federations, etc. </t>
        </r>
      </text>
    </comment>
    <comment ref="D20" authorId="1" shapeId="0" xr:uid="{0FF81029-61FC-494C-9C97-35D3CA61D4BA}">
      <text>
        <r>
          <rPr>
            <sz val="9"/>
            <color indexed="81"/>
            <rFont val="Aptos Narrow"/>
            <family val="2"/>
          </rPr>
          <t>It is mandatory to include the type of road, i.e., boulevard, street, avenue, highway, alley, entrance, etc.</t>
        </r>
      </text>
    </comment>
    <comment ref="D27" authorId="1" shapeId="0" xr:uid="{D2B9BB92-0F7E-49F5-A890-BBD0175632FB}">
      <text>
        <r>
          <rPr>
            <sz val="9"/>
            <color indexed="81"/>
            <rFont val="Aptos Narrow"/>
            <family val="2"/>
          </rPr>
          <t>Only institutional emails shall be used. The use of personal emails in relation to DNSC is prohibited.</t>
        </r>
      </text>
    </comment>
    <comment ref="D33" authorId="1" shapeId="0" xr:uid="{1A86A6A2-0678-42F4-B353-C04C0A2B238E}">
      <text>
        <r>
          <rPr>
            <sz val="9"/>
            <color indexed="81"/>
            <rFont val="Aptos Narrow"/>
            <family val="2"/>
          </rPr>
          <t>All authorized secondary NACE codes that correspond to Annexes 1 and 2 of OUG No. 155/2024 shall be entered.
It is mandatory to enter the NACE class, i.e. 4 digits, for NACE codes.
If there are several active secondary NACE codes, it is mandatory to use a semicolon followed by a space (;) for separation - example: 1106; 2601.</t>
        </r>
      </text>
    </comment>
    <comment ref="C36" authorId="1" shapeId="0" xr:uid="{0A804A78-E470-4159-80F3-A0441EA65CFD}">
      <text>
        <r>
          <rPr>
            <b/>
            <sz val="9"/>
            <color indexed="81"/>
            <rFont val="Aptos Narrow"/>
            <family val="2"/>
          </rPr>
          <t xml:space="preserve">Clarification.
</t>
        </r>
        <r>
          <rPr>
            <sz val="9"/>
            <color indexed="81"/>
            <rFont val="Aptos Narrow"/>
            <family val="2"/>
          </rPr>
          <t>The provisions of Article 14(3) and (4) shall be taken into account for essential entities.</t>
        </r>
      </text>
    </comment>
    <comment ref="D44" authorId="1" shapeId="0" xr:uid="{E39829D7-29DB-46AB-B248-2E74516E71F1}">
      <text>
        <r>
          <rPr>
            <sz val="9"/>
            <color indexed="81"/>
            <rFont val="Aptos Narrow"/>
            <family val="2"/>
          </rPr>
          <t>If the person responsible for cybersecurity is also the person responsible for monitoring, the data shall only be entered under the heading: "Information regarding the person responsible for cybersecurity."</t>
        </r>
      </text>
    </comment>
    <comment ref="D52" authorId="1" shapeId="0" xr:uid="{4F292292-3A04-4E9F-B235-BB84546451AF}">
      <text>
        <r>
          <rPr>
            <sz val="9"/>
            <color indexed="81"/>
            <rFont val="Aptos Narrow"/>
            <family val="2"/>
          </rPr>
          <t>Only institutional emails shall be used. The use of personal emails in relation with DNSC is prohibited.</t>
        </r>
      </text>
    </comment>
    <comment ref="D54" authorId="1" shapeId="0" xr:uid="{EF187CBA-1939-481B-9F08-FA170B359215}">
      <text>
        <r>
          <rPr>
            <sz val="9"/>
            <color indexed="81"/>
            <rFont val="Aptos Narrow"/>
            <family val="2"/>
          </rPr>
          <t>The range must be entered in CIDR format. If there are multiple ranges, they must be separated by a semicolon followed by a space (; ") - example: 100.106.171.93/32; 10.66.198.88/29.</t>
        </r>
      </text>
    </comment>
    <comment ref="D57" authorId="1" shapeId="0" xr:uid="{2DA26C0B-56D8-4B4D-B416-A369C318984E}">
      <text>
        <r>
          <rPr>
            <sz val="9"/>
            <color indexed="81"/>
            <rFont val="Aptos Narrow"/>
            <family val="2"/>
          </rPr>
          <t>If services are provided in several Member States, a comma followed by a space (,) must be used for separation - example: Italy, Romania (the conjunction "and" shall not be used).
If the entity provides services only in Romania, the respective field must be filled in with Romania.</t>
        </r>
      </text>
    </comment>
    <comment ref="D58" authorId="1" shapeId="0" xr:uid="{F62CA677-0197-4801-8B50-4045C1BC681B}">
      <text>
        <r>
          <rPr>
            <sz val="9"/>
            <color indexed="81"/>
            <rFont val="Aptos Narrow"/>
            <family val="2"/>
          </rPr>
          <t>Address format: street number (street number), postal code, city, state.
Offices are separated by (;). After the address of a location in a given state, a semicolon followed by a space (;) shall be written - example: Via Garibaldi 25, 00184 Rome RM, Italy; 12 Rue de la Paix, 75008 Paris, France (the conjunction "and" shall not be used).
Please note. Locations in Romania shall not be included.</t>
        </r>
      </text>
    </comment>
    <comment ref="D76" authorId="1" shapeId="0" xr:uid="{6BC9773B-88BB-4D26-902D-F292D34F81BC}">
      <text>
        <r>
          <rPr>
            <sz val="9"/>
            <color indexed="81"/>
            <rFont val="Aptos Narrow"/>
            <family val="2"/>
          </rPr>
          <t>Any other documents relevant to clarifying and certifying the data and information provided in this 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 Stephan</author>
    <author>Constantin Calin</author>
    <author>Kervyn de Merendre Jean</author>
  </authors>
  <commentList>
    <comment ref="C17" authorId="0" shapeId="0" xr:uid="{23E1DDA8-8F6D-4BB8-A10B-468E216B6255}">
      <text>
        <r>
          <rPr>
            <sz val="9"/>
            <color indexed="81"/>
            <rFont val="Aptos Narrow"/>
            <family val="2"/>
          </rPr>
          <t xml:space="preserve"> Law No. 346 of July 14, 2004, on stimulating the establishment and development of small and medium-sized enterprises, as amended and complemented  (Art. 5 - 7)</t>
        </r>
      </text>
    </comment>
    <comment ref="C18" authorId="0" shapeId="0" xr:uid="{5E886A2F-23C3-481C-9E3F-563F14601A6B}">
      <text>
        <r>
          <rPr>
            <sz val="9"/>
            <color indexed="81"/>
            <rFont val="Aptos Narrow"/>
            <family val="2"/>
          </rPr>
          <t xml:space="preserve"> Law No. 346 of July 14, 2004, on stimulating the establishment and development of small and medium-sized enterprises, as amended and complemented (Art. 6 - 7)</t>
        </r>
      </text>
    </comment>
    <comment ref="C19" authorId="1" shapeId="0" xr:uid="{797EA85F-729F-4D59-A107-5A11EF9EFF70}">
      <text>
        <r>
          <rPr>
            <sz val="9"/>
            <color indexed="81"/>
            <rFont val="Aptos Narrow"/>
            <family val="2"/>
          </rPr>
          <t xml:space="preserve"> Law No. 346 of July 14, 2004, on stimulating the establishment and development of small and medium-sized enterprises, as amended and complemented (Art. 6 - 7)</t>
        </r>
      </text>
    </comment>
    <comment ref="C26" authorId="1" shapeId="0" xr:uid="{0A38BE70-61BE-4439-ACFE-794A5D5E3670}">
      <text>
        <r>
          <rPr>
            <sz val="9"/>
            <color indexed="81"/>
            <rFont val="Aptos Narrow"/>
            <family val="2"/>
          </rPr>
          <t>If you cannot identify a service in the list that is equivalent to the one provided by the entity, please select the field 'None of the services listed in OUG No. 155/2024'.
In this case, the entity does not have obligations under Government Emergency Ordinance no. 155/2024."</t>
        </r>
      </text>
    </comment>
    <comment ref="C31" authorId="2" shapeId="0" xr:uid="{7E5AAC2B-08B2-41E4-895B-8884E3AA1A43}">
      <text>
        <r>
          <rPr>
            <sz val="9"/>
            <color indexed="81"/>
            <rFont val="Aptos Narrow"/>
            <family val="2"/>
          </rPr>
          <t>As defined "economic operators" in Article 3(73) of Law No. 123/2012 on electricity and natural gas, which perform the function of "electricity supply" as defined in Article 3(46) of Law No. 123/2012 on electricity and natural gas.</t>
        </r>
      </text>
    </comment>
    <comment ref="C32" authorId="2" shapeId="0" xr:uid="{A32D1628-0A94-4007-8E67-7F09DF9BA008}">
      <text>
        <r>
          <rPr>
            <sz val="9"/>
            <color indexed="81"/>
            <rFont val="Aptos Narrow"/>
            <family val="2"/>
          </rPr>
          <t>As defined in Article 3(70) of Law No. 123/2012 on electricity and natural gas.</t>
        </r>
      </text>
    </comment>
    <comment ref="C33" authorId="2" shapeId="0" xr:uid="{13DBA231-FEA4-4ED5-A0FE-DF906663534E}">
      <text>
        <r>
          <rPr>
            <sz val="9"/>
            <color indexed="81"/>
            <rFont val="Aptos Narrow"/>
            <family val="2"/>
          </rPr>
          <t>As defined in Article 3(71) of Law No. 123/2012 on electricity and natural gas.</t>
        </r>
      </text>
    </comment>
    <comment ref="C34" authorId="2" shapeId="0" xr:uid="{D7661568-65E8-4B22-A8BF-17C4E0F273CA}">
      <text>
        <r>
          <rPr>
            <sz val="9"/>
            <color indexed="81"/>
            <rFont val="Aptos Narrow"/>
            <family val="2"/>
          </rPr>
          <t>As defined as "electricity producers" in Article 3(92) of Law No. 123/2012 on electricity and natural gas.</t>
        </r>
      </text>
    </comment>
    <comment ref="C35" authorId="2" shapeId="0" xr:uid="{7C13208C-569A-4C0A-8E33-8311F4F67421}">
      <text>
        <r>
          <rPr>
            <sz val="9"/>
            <color indexed="81"/>
            <rFont val="Aptos Narrow"/>
            <family val="2"/>
          </rPr>
          <t>As defined in Article 3(68) of Law No. 123/2012 on electricity and natural gas.</t>
        </r>
      </text>
    </comment>
    <comment ref="C36" authorId="2" shapeId="0" xr:uid="{DC7FFC32-041C-4650-AE43-F8B7AD4CD82A}">
      <text>
        <r>
          <rPr>
            <sz val="9"/>
            <color indexed="81"/>
            <rFont val="Aptos Narrow"/>
            <family val="2"/>
          </rPr>
          <t>As defined in Article 3(79) of Law No. 123/2012 on electricity and natural gas, which provides aggregation, dispatchable consumption, or energy storage services, as defined in Articles 3(6), 29, and 121, respectively, of the same law.</t>
        </r>
      </text>
    </comment>
    <comment ref="C37" authorId="1" shapeId="0" xr:uid="{782ACD7A-9465-48B2-952F-C522B0F89E8A}">
      <text>
        <r>
          <rPr>
            <sz val="9"/>
            <color indexed="81"/>
            <rFont val="Aptos Narrow"/>
            <family val="2"/>
          </rPr>
          <t>As defined in Article 3(96) of Law No. 123/2012 on electricity and natural gas, who are responsible for managing and operating a recharging point that provides a recharging service to end customers, as defined in Article 3(20) of the same law, including on behalf of and for the account of a mobility service provider, as defined in Article 3(36) of Regulation (EU) 2023/1804 of the European Parliament and of the Council of 13 September 2023 on the deployment of alternative fuels infrastructure and repealing Directive 2014/94/EU.</t>
        </r>
      </text>
    </comment>
    <comment ref="C38" authorId="1" shapeId="0" xr:uid="{89D80393-8BB3-4606-994F-B0448EF365C4}">
      <text>
        <r>
          <rPr>
            <sz val="9"/>
            <color indexed="81"/>
            <rFont val="Aptos Narrow"/>
            <family val="2"/>
          </rPr>
          <t>Economic operators, concessionaires, and developers of offshore wind turbine power plants as provided for in Law No. 121/2024 on offshore wind energy.</t>
        </r>
      </text>
    </comment>
    <comment ref="C40" authorId="2" shapeId="0" xr:uid="{410D45A6-A280-4570-8A86-D1E622F69B5D}">
      <text>
        <r>
          <rPr>
            <sz val="9"/>
            <color indexed="81"/>
            <rFont val="Aptos Narrow"/>
            <family val="2"/>
          </rPr>
          <t>As defined in Article 2( letter t) of Law No. 220/2008 (republished) establishing the system for promoting the production of energy from renewable energy sources, with subsequent amendments and additions.</t>
        </r>
      </text>
    </comment>
    <comment ref="C42" authorId="1" shapeId="0" xr:uid="{F0AE6BB9-59E7-4DDC-83B0-63124A7393C1}">
      <text>
        <r>
          <rPr>
            <sz val="9"/>
            <color indexed="81"/>
            <rFont val="Aptos Narrow"/>
            <family val="2"/>
          </rPr>
          <t>As defined as "transporters" in Article 2(42) of Law No. 238/2004 on oil, with subsequent amendments and additions.</t>
        </r>
      </text>
    </comment>
    <comment ref="C44" authorId="2" shapeId="0" xr:uid="{5359CBC2-13B9-4E15-9CAE-04F31609843E}">
      <text>
        <r>
          <rPr>
            <sz val="9"/>
            <color indexed="81"/>
            <rFont val="Aptos Narrow"/>
            <family val="2"/>
          </rPr>
          <t>As defined in Article 2(m) and (n) of Law No. 85/2018 on the establishment and maintenance of minimum reserves of crude oil and/or petroleum products.</t>
        </r>
      </text>
    </comment>
    <comment ref="C46" authorId="2" shapeId="0" xr:uid="{774B9F30-A525-4F75-8959-AF6478ED0243}">
      <text>
        <r>
          <rPr>
            <sz val="9"/>
            <color indexed="81"/>
            <rFont val="Aptos Narrow"/>
            <family val="2"/>
          </rPr>
          <t>As defined as "suppliers" in Article 100 paragraph 44 of Law No. 123/2012 on electricity and natural gas, as amended and supplemented.</t>
        </r>
      </text>
    </comment>
    <comment ref="C47" authorId="2" shapeId="0" xr:uid="{34D5AA3A-A934-49E7-9D85-6F5938E30FB4}">
      <text>
        <r>
          <rPr>
            <sz val="9"/>
            <color indexed="81"/>
            <rFont val="Aptos Narrow"/>
            <family val="2"/>
          </rPr>
          <t>As defined in Article 100 paragraph 63 of Law No. 123/2012 on electricity and natural gas, as amended and supplemented.</t>
        </r>
      </text>
    </comment>
    <comment ref="C48" authorId="2" shapeId="0" xr:uid="{C76909C9-BE68-444C-B12B-DFF8E69A173E}">
      <text>
        <r>
          <rPr>
            <sz val="9"/>
            <color indexed="81"/>
            <rFont val="Aptos Narrow"/>
            <family val="2"/>
          </rPr>
          <t>As defined in Article 100 paragraph 65 of Law No. 123/2012 on electricity and natural gas, as amended and supplemented.</t>
        </r>
      </text>
    </comment>
    <comment ref="C49" authorId="2" shapeId="0" xr:uid="{202EA81D-FEC8-4C55-94B8-0D306292F918}">
      <text>
        <r>
          <rPr>
            <sz val="9"/>
            <color indexed="81"/>
            <rFont val="Aptos Narrow"/>
            <family val="2"/>
          </rPr>
          <t>As defined in Article 100 paragraph 64 of Law No. 123/2012 on electricity and natural gas, as subsequently amended and supplemented.</t>
        </r>
      </text>
    </comment>
    <comment ref="C50" authorId="2" shapeId="0" xr:uid="{7D09A0BF-F205-47D6-A076-8CA246C3B45F}">
      <text>
        <r>
          <rPr>
            <sz val="9"/>
            <color indexed="81"/>
            <rFont val="Aptos Narrow"/>
            <family val="2"/>
          </rPr>
          <t>As defined as "LNG terminal operators" in Article 100 point 60 of Law No. 123/2012 on electricity and natural gas, as amended and supplemented.</t>
        </r>
      </text>
    </comment>
    <comment ref="C51" authorId="2" shapeId="0" xr:uid="{DBCD4399-F692-45F0-96CF-20343A4873F4}">
      <text>
        <r>
          <rPr>
            <sz val="9"/>
            <color indexed="81"/>
            <rFont val="Aptos Narrow"/>
            <family val="2"/>
          </rPr>
          <t>As defined as "economic operators in the natural gas sector" in Article 100 paragraph 67 of Law No. 123/2012 on electricity and natural gas, as subsequently amended and supplemented.</t>
        </r>
      </text>
    </comment>
    <comment ref="C56" authorId="1" shapeId="0" xr:uid="{571B5F02-9B64-409C-BCA3-B80E078E9ACB}">
      <text>
        <r>
          <rPr>
            <sz val="9"/>
            <color indexed="81"/>
            <rFont val="Aptos Narrow"/>
            <family val="2"/>
          </rPr>
          <t>Beneficiaries under Government Emergency Ordinance No. 60/2022 establishing the institutional and financial framework for the implementation and management of funds allocated to Romania through the Modernization Fund, as well as for the amendment and supplementation of certain legislative acts.</t>
        </r>
      </text>
    </comment>
    <comment ref="C59" authorId="2" shapeId="0" xr:uid="{51D64B39-7B72-4049-87C6-74B60E5A5B20}">
      <text>
        <r>
          <rPr>
            <sz val="9"/>
            <color indexed="81"/>
            <rFont val="Aptos Narrow"/>
            <family val="2"/>
          </rPr>
          <t>As defined in Article 3 point 51 of the Air Code of March 18, 2020, with subsequent amendments and additions, used for commercial purposes.</t>
        </r>
      </text>
    </comment>
    <comment ref="C60" authorId="2" shapeId="0" xr:uid="{196F28EF-3E4E-465A-984A-ED838705C603}">
      <text>
        <r>
          <rPr>
            <sz val="9"/>
            <color indexed="81"/>
            <rFont val="Aptos Narrow"/>
            <family val="2"/>
          </rPr>
          <t>As defined as "airport administrators" in Article 3 point 6 of the Air Code of March 18, 2020, with subsequent amendments and additions, airports, as defined in Article 3 point 13 of the same law, including the main airports listed in Section 2 of Annex II to Regulation (EU) No. 1315/2013 of the European Parliament and of the Council of December 11, 2013, on Union guidelines for the development of the trans-European transport network and repealing Decision No. 661/2010/EU, as well as entities operating ancillary facilities within airports.</t>
        </r>
      </text>
    </comment>
    <comment ref="C61" authorId="2" shapeId="0" xr:uid="{BF61E7BB-186E-433F-A3DA-F5988CEEBF02}">
      <text>
        <r>
          <rPr>
            <sz val="9"/>
            <color indexed="81"/>
            <rFont val="Aptos Narrow"/>
            <family val="2"/>
          </rPr>
          <t>As defined in Article 2 point 1 of Regulation (EC) No 549/2004 of the European Parliament and of the Council of 10 March 2004 laying down the framework for the creation of the single European sky (the framework Regulation).</t>
        </r>
      </text>
    </comment>
    <comment ref="C63" authorId="1" shapeId="0" xr:uid="{1385535F-0489-4D35-90EA-200DDED7AB0E}">
      <text>
        <r>
          <rPr>
            <sz val="9"/>
            <color indexed="81"/>
            <rFont val="Aptos Narrow"/>
            <family val="2"/>
          </rPr>
          <t>As defined as "aeronautical agents" in Article 3 point 15 of the Air Code of March 18, 2020, with subsequent amendments and additions.</t>
        </r>
      </text>
    </comment>
    <comment ref="C64" authorId="1" shapeId="0" xr:uid="{F267FDD5-F186-40A2-8637-662581976FC0}">
      <text>
        <r>
          <rPr>
            <sz val="9"/>
            <color indexed="81"/>
            <rFont val="Aptos Narrow"/>
            <family val="2"/>
          </rPr>
          <t>Organizations referred to in Article 2 paragraph (1) of Commission Delegated Regulation (EU) 2022/1645 of July 14, 2022 laying down rules for the application of Regulation (EU) 2018/1139 of the European Parliament and of the Council as regards requirements for the management of risks to information security with a potential impact on aviation safety imposed on organizations falling within the scope of Commission Regulations (EU) No 748/2012 and (EU) No 139/2014 and amending Commission Regulations (EU) No 748/2012 and (EU) No 139/2014.</t>
        </r>
      </text>
    </comment>
    <comment ref="C65" authorId="1" shapeId="0" xr:uid="{5A789A55-390D-4DDF-B648-AADA5BCC8AE9}">
      <text>
        <r>
          <rPr>
            <sz val="9"/>
            <color indexed="81"/>
            <rFont val="Aptos Narrow"/>
            <family val="2"/>
          </rPr>
          <t>Organizations referred to in Article 2 paragraph (1) of Commission Implementing Regulation (EU) 2023/203 of October 27, 2022 laying down rules for the application of Regulation (EU) 2018/1139 of the European Parliament and of the Council as regards the requirements for the management of risks to information security with a potential impact on aviation safety imposed on organizations falling within the scope of Regulations (EU) No. 1321/2014, (EU) No 965/2012, (EU) No 1178/2011, (EU) 2015/340 and Commission Implementing Regulations (EU) 2017/373 and (EU) 2021/664, as well as competent authorities falling within the scope of Regulations (EU) No 748/2012, (EU) No. 1321/2014, (EU) No. 965/2012, (EU) No. 1178/2011, (EU) 2015/340 and (EU) No. 139/2014 and Commission Implementing Regulations (EU) 2017/373 and (EU) 2021/664, and amending Regulations (EU) No. 1178/2011, (EU) No. 748/2012, (EU) No. 965/2012, (EU) No 139/2014, (EU) No 1321/2014, (EU) 2015/340 and Commission Implementing Regulations (EU) 2017/373 and (EU) 2021/664.</t>
        </r>
      </text>
    </comment>
    <comment ref="C67" authorId="2" shapeId="0" xr:uid="{8A8E0EE7-643B-4C55-92BE-0898B9204209}">
      <text>
        <r>
          <rPr>
            <sz val="9"/>
            <color indexed="81"/>
            <rFont val="Aptos Narrow"/>
            <family val="2"/>
          </rPr>
          <t>As defined in Article 3 point 3 of Law No. 202/2016 on the integration of the Romanian railway system into the single European railway area, with subsequent amendments and additions.</t>
        </r>
      </text>
    </comment>
    <comment ref="C68" authorId="2" shapeId="0" xr:uid="{53A93B4B-854B-4A96-8218-711ED985D1A1}">
      <text>
        <r>
          <rPr>
            <sz val="9"/>
            <color indexed="81"/>
            <rFont val="Aptos Narrow"/>
            <family val="2"/>
          </rPr>
          <t>As defined as "rail transport operators" in Article 3 point 18 of Law No. 202/2016 on the integration of the Romanian railway system into the single European railway area, with subsequent amendments and additions, including operators of a service infrastructure, as defined in Article 3 point 19 of the same law.</t>
        </r>
      </text>
    </comment>
    <comment ref="C70" authorId="2" shapeId="0" xr:uid="{2904A0E4-02A5-4273-9385-33F7DE494D65}">
      <text>
        <r>
          <rPr>
            <sz val="9"/>
            <color indexed="81"/>
            <rFont val="Aptos Narrow"/>
            <family val="2"/>
          </rPr>
          <t>As defined for maritime transport in Annex I to Regulation (EC) No. 725/2004 of the European Parliament and of the Council of March 31, 2004, on enhancing ship and port facility security, without including individual ships operated by those companies.</t>
        </r>
      </text>
    </comment>
    <comment ref="C71" authorId="2" shapeId="0" xr:uid="{8767C8C1-EC7E-43A9-9E8D-6854A00A223F}">
      <text>
        <r>
          <rPr>
            <sz val="9"/>
            <color indexed="81"/>
            <rFont val="Aptos Narrow"/>
            <family val="2"/>
          </rPr>
          <t>As defined in Article 3 of Order No. 290/2007 of the Minister of Transportation for the introduction of measures to strengthen port security, including their port facilities, as defined in Article 2 point 11 of Regulation (EC) No. 725/2004, and entities that carry out work and operate equipment within ports.</t>
        </r>
      </text>
    </comment>
    <comment ref="C72" authorId="2" shapeId="0" xr:uid="{31178AF8-654D-480C-8F02-54AEB81115B9}">
      <text>
        <r>
          <rPr>
            <sz val="9"/>
            <color indexed="81"/>
            <rFont val="Aptos Narrow"/>
            <family val="2"/>
          </rPr>
          <t>As defined in Article 3 letter t of Government Decision No. 1016/2010 establishing the Information and Monitoring System for maritime vessels entering/leaving Romania's navigable national waters, with subsequent amendments and additions.</t>
        </r>
      </text>
    </comment>
    <comment ref="C74" authorId="2" shapeId="0" xr:uid="{4526388C-31F1-4E0E-8C3D-673AFD6A97C9}">
      <text>
        <r>
          <rPr>
            <sz val="10"/>
            <color indexed="81"/>
            <rFont val="Times New Roman"/>
            <family val="1"/>
          </rPr>
          <t>As defined in Article 2 point 12 of Commission Delegated Regulation (EU) 2015/962 of 18 December 2014 supplementing Directive 2010/40/EU of the European Parliament and of the Council with regard to the provision of EU-wide real-time traffic information services responsible for traffic management control, with the exception of public entities for which traffic management or the operation of intelligent transport systems is only a non-essential part of their overall activity.</t>
        </r>
      </text>
    </comment>
    <comment ref="C75" authorId="2" shapeId="0" xr:uid="{13AD9AF7-9196-4E7F-8EEC-08D377358056}">
      <text>
        <r>
          <rPr>
            <sz val="10"/>
            <color indexed="81"/>
            <rFont val="Times New Roman"/>
            <family val="1"/>
          </rPr>
          <t>As defined in Article 4 letter a of Government Ordinance No. 7 of January 25, 2012, on the implementation of intelligent transport systems in the field of road transport and for the creation of interfaces with other modes of transport.</t>
        </r>
      </text>
    </comment>
    <comment ref="C76" authorId="1" shapeId="0" xr:uid="{C22E7CCA-9E66-463F-9E29-379FDBEDC13A}">
      <text>
        <r>
          <rPr>
            <b/>
            <sz val="9"/>
            <color indexed="81"/>
            <rFont val="Segoe UI"/>
            <family val="2"/>
          </rPr>
          <t>Public transport -</t>
        </r>
        <r>
          <rPr>
            <sz val="9"/>
            <color indexed="81"/>
            <rFont val="Segoe UI"/>
            <family val="2"/>
          </rPr>
          <t xml:space="preserve"> introduced by Law No. 294/2024
Entities identified as critical entities within the meaning of Law No. 294/2024 are required to register in the Register of Entities.</t>
        </r>
      </text>
    </comment>
    <comment ref="C77" authorId="1" shapeId="0" xr:uid="{7396B98F-66BF-4388-9EAF-A5DB3CA08CE1}">
      <text>
        <r>
          <rPr>
            <b/>
            <sz val="9"/>
            <color indexed="81"/>
            <rFont val="Aptos Narrow"/>
            <family val="2"/>
          </rPr>
          <t>Public service operators -</t>
        </r>
        <r>
          <rPr>
            <sz val="9"/>
            <color indexed="81"/>
            <rFont val="Aptos Narrow"/>
            <family val="2"/>
          </rPr>
          <t xml:space="preserve"> introduced by Law No. 294/2024
As defined by "Article 2 letter d) of Regulation (EC) No. 1370/2007 of the European Parliament and of the Council of October 23, 2007 on public passenger transport services by rail and by road and repealing Regulations (EEC) No. 191/69 and No. 1107/70 of the Council." 191/69 and No. 1.107/70 of the Council."
Entities identified as critical entities within the meaning of L294/2024 are required to register in the Register of Entities..</t>
        </r>
      </text>
    </comment>
    <comment ref="C79" authorId="2" shapeId="0" xr:uid="{807D0F3C-52CF-464A-BD14-BA06DCE3DDC6}">
      <text>
        <r>
          <rPr>
            <sz val="9"/>
            <color indexed="81"/>
            <rFont val="Aptos Narrow"/>
            <family val="2"/>
          </rPr>
          <t>As defined in Article 4 point 1 of Regulation (EU) No 575/2013 of the European Parliament and of the Council of 26 June 2013 on prudential requirements for credit institutions and investment firms and amending Regulation (EU) No 648/2012.</t>
        </r>
      </text>
    </comment>
    <comment ref="C81" authorId="2" shapeId="0" xr:uid="{3DC35FFA-6F4D-4D29-8851-10FDFFBF920B}">
      <text>
        <r>
          <rPr>
            <sz val="9"/>
            <color indexed="81"/>
            <rFont val="Aptos Narrow"/>
            <family val="2"/>
          </rPr>
          <t>As defined in Article 3 paragraph 1 point 40 of Law No. 126/2018 on financial instrument markets.</t>
        </r>
      </text>
    </comment>
    <comment ref="C82" authorId="2" shapeId="0" xr:uid="{3C82113E-C05B-498E-8FC7-E24E0CA7E5BF}">
      <text>
        <r>
          <rPr>
            <sz val="9"/>
            <color indexed="81"/>
            <rFont val="Aptos Narrow"/>
            <family val="2"/>
          </rPr>
          <t>As defined in Article 3 paragraph (1) point 16 of Law No. 126/2018 on financial instrument markets, as subsequently amended and supplemented.</t>
        </r>
      </text>
    </comment>
    <comment ref="C83" authorId="1" shapeId="0" xr:uid="{6F2E34BC-BD16-40F3-8601-FBC97094BE07}">
      <text>
        <r>
          <rPr>
            <b/>
            <sz val="9"/>
            <color indexed="81"/>
            <rFont val="Aptos Narrow"/>
            <family val="2"/>
          </rPr>
          <t xml:space="preserve">Institutions that ensure the execution of operations involving the collection and payment of public funds - </t>
        </r>
        <r>
          <rPr>
            <sz val="9"/>
            <color indexed="81"/>
            <rFont val="Aptos Narrow"/>
            <family val="2"/>
          </rPr>
          <t>introduced by Law No. 294/2024:
Institutions that ensure the collection and payment of public funds, including those relating to public debt, and other state operations.
Entities identified as critical entities within the meaning of Law No. 294/2024 are required to register in the Register of Entities.</t>
        </r>
      </text>
    </comment>
    <comment ref="C85" authorId="2" shapeId="0" xr:uid="{911D9F68-BC9C-4179-9288-5D3E6C7E5791}">
      <text>
        <r>
          <rPr>
            <sz val="9"/>
            <color indexed="81"/>
            <rFont val="Aptos Narrow"/>
            <family val="2"/>
          </rPr>
          <t>As defined by Article 347 letter c of Law No. 95/2006 (republished) on healthcare reform, with subsequent amendments and additions.</t>
        </r>
      </text>
    </comment>
    <comment ref="C86" authorId="2" shapeId="0" xr:uid="{66D32E78-9928-4C62-A547-9B207EB1B5DD}">
      <text>
        <r>
          <rPr>
            <sz val="9"/>
            <color indexed="81"/>
            <rFont val="Aptos Narrow"/>
            <family val="2"/>
          </rPr>
          <t>As defined in Article 15 of Regulation (EU) 2022/2371 of the European Parliament and of the Council of November 23, 2022, on serious cross-border threats to health and repealing Decision No. 1082/2013/EU.</t>
        </r>
      </text>
    </comment>
    <comment ref="C87" authorId="2" shapeId="0" xr:uid="{CBE99AB4-8C2F-4D31-A469-977F7B1FF12E}">
      <text>
        <r>
          <rPr>
            <sz val="9"/>
            <color indexed="81"/>
            <rFont val="Aptos Narrow"/>
            <family val="2"/>
          </rPr>
          <t>Entities engaged in research and development of medicinal products. Medicinal products, as defined in Article 699 of Law No. 95/2006 (republished) on health reform, as subsequently amended and supplemented.</t>
        </r>
      </text>
    </comment>
    <comment ref="C88" authorId="2" shapeId="0" xr:uid="{EC5D5BE4-08A4-41F0-BCE1-50D31E04AE04}">
      <text>
        <r>
          <rPr>
            <sz val="9"/>
            <color indexed="81"/>
            <rFont val="Aptos Narrow"/>
            <family val="2"/>
          </rPr>
          <t>Entities manufacturing basic pharmaceutical products and pharmaceutical preparations listed in Section C, Division 21 of NACE Rev. 3.</t>
        </r>
      </text>
    </comment>
    <comment ref="C89" authorId="2" shapeId="0" xr:uid="{437AAD72-062E-4EB3-851F-890AA1D5A8A2}">
      <text>
        <r>
          <rPr>
            <sz val="9"/>
            <color indexed="81"/>
            <rFont val="Aptos Narrow"/>
            <family val="2"/>
          </rPr>
          <t>Entities manufacturing medical devices considered essential in the context of a public health emergency (list of devices essential for the public health emergency) within the meaning of Article 22 of Regulation (EU) 2022/123 of the European Parliament and of the Council of January 25, 2022, on strengthening the role of the European Medicines Agency in the preparedness and management of crises in the field of medicinal products and medical devices.</t>
        </r>
      </text>
    </comment>
    <comment ref="C90" authorId="1" shapeId="0" xr:uid="{930498BC-3034-4C84-9642-13B855C6879C}">
      <text>
        <r>
          <rPr>
            <sz val="9"/>
            <color indexed="81"/>
            <rFont val="Aptos Narrow"/>
            <family val="2"/>
          </rPr>
          <t>Entities holding a license to distribute medicinal products referred to in Article 803 of Law No. 95/2006, republished, with subsequent amendments and additions.</t>
        </r>
      </text>
    </comment>
    <comment ref="C91" authorId="1" shapeId="0" xr:uid="{D6EEF072-7A69-4EEF-A977-3EAFA0191149}">
      <text>
        <r>
          <rPr>
            <sz val="9"/>
            <color indexed="81"/>
            <rFont val="Aptos Narrow"/>
            <family val="2"/>
          </rPr>
          <t>Enterprises engaged in any of the economic activities mentioned in division 4646 - Wholesale of pharmaceutical and medical products and 4773 - Retail sale of pharmaceutical products in specialized stores in CAEN Rev. 3</t>
        </r>
      </text>
    </comment>
    <comment ref="C93" authorId="2" shapeId="0" xr:uid="{D9FC32D3-50F7-4401-BB9B-61FA57A0CD39}">
      <text>
        <r>
          <rPr>
            <sz val="9"/>
            <color indexed="81"/>
            <rFont val="Aptos Narrow"/>
            <family val="2"/>
          </rPr>
          <t>As defined as "water suppliers" in Article 2 point c) of Ordinance No. 7/2023 on the quality of water intended for human consumption, as amended and supplemented, intended for human consumption, as defined in Article 2 point a) of the same Ordinance, except for water used in any food establishment for the production, processing, preservation, or marketing of products or substances intended for human consumption, and excluding distributors for whom the distribution of water intended for human consumption is a non-essential part of their overall distribution of other basic products and goods that are not considered essential services.</t>
        </r>
      </text>
    </comment>
    <comment ref="C95" authorId="2" shapeId="0" xr:uid="{0315A808-9209-4877-B7EC-ACAA6CFEA173}">
      <text>
        <r>
          <rPr>
            <sz val="9"/>
            <color indexed="81"/>
            <rFont val="Aptos Narrow"/>
            <family val="2"/>
          </rPr>
          <t>As defined in Article 2 points 1, 2, and 3 of Annex 1 – Technical Norms of 28 February 2002 regarding the collection, treatment, and discharge of urban wastewater, NTPA-011, to Government Decision no. 188/2002 approving certain norms on the conditions for the discharge of wastewater into the aquatic environment, with the exception of enterprises for which the collection, discharge, or treatment of urban wastewater, domestic wastewater, or industrial wastewater constitutes a non-essential part of their overall activity.</t>
        </r>
      </text>
    </comment>
    <comment ref="C97" authorId="0" shapeId="0" xr:uid="{8E0F1EDC-99ED-4720-9271-5E3FEFEDFC95}">
      <text>
        <r>
          <rPr>
            <sz val="9"/>
            <color indexed="81"/>
            <rFont val="Aptos Narrow"/>
            <family val="2"/>
          </rPr>
          <t>"Internet exchange point (IXP)" means a network facility that enables the interconnection of more than two independent autonomous systems, primarily for the purpose of facilitating Internet traffic exchange, which provides interconnection exclusively for autonomous systems and does not require Internet traffic between any pair of participating autonomous systems to pass through a third autonomous system, nor does it modify or otherwise interact with such traffic.</t>
        </r>
      </text>
    </comment>
    <comment ref="C98" authorId="0" shapeId="0" xr:uid="{6332ED35-D676-47B0-B6A4-3942AC6E9340}">
      <text>
        <r>
          <rPr>
            <sz val="9"/>
            <color indexed="81"/>
            <rFont val="Aptos Narrow"/>
            <family val="2"/>
          </rPr>
          <t>"Domain name system" or "DNS" means a hierarchical and distributed naming system that enables the identification of Internet services and resources, allowing end-user devices to use Internet routing and connectivity services to access such services and resources.
"DNS service provider" means an entity that provides:
1. publicly available recursive domain name resolution services for Internet end-users; or
2. authoritative domain name resolution services intended for use by third parties, excluding root name servers.</t>
        </r>
      </text>
    </comment>
    <comment ref="C99" authorId="0" shapeId="0" xr:uid="{B79B398E-E22B-468D-AA9C-0FB833FB2770}">
      <text>
        <r>
          <rPr>
            <b/>
            <sz val="9"/>
            <color indexed="81"/>
            <rFont val="Aptos Narrow"/>
            <family val="2"/>
          </rPr>
          <t xml:space="preserve">"TLD name registry" </t>
        </r>
        <r>
          <rPr>
            <sz val="9"/>
            <color indexed="81"/>
            <rFont val="Aptos Narrow"/>
            <family val="2"/>
          </rPr>
          <t>means an entity to which a specific top-level domain has been delegated and which is responsible for administering that top-level domain, including the registration of domain names under the top-level domain and the technical operation of the top-level domain, such as operating its name servers, maintaining its databases, and distributing top-level domain zone files to name servers, whether these tasks are carried out by the entity itself or outsourced. This definition excludes cases where the top-level domain names are used by the registry exclusively for its own purposes.</t>
        </r>
      </text>
    </comment>
    <comment ref="C100" authorId="0" shapeId="0" xr:uid="{F5F78D4C-FE27-47F9-BE6F-870E9BFEE46B}">
      <text>
        <r>
          <rPr>
            <b/>
            <sz val="9"/>
            <color indexed="81"/>
            <rFont val="Aptos Narrow"/>
            <family val="2"/>
          </rPr>
          <t xml:space="preserve">"Cloud computing service" </t>
        </r>
        <r>
          <rPr>
            <sz val="9"/>
            <color indexed="81"/>
            <rFont val="Aptos Narrow"/>
            <family val="2"/>
          </rPr>
          <t>means a digital service that enables on-demand administration and broad remote access to a scalable and elastic pool of shareable computing resources, including cases where those resources are distributed across multiple locations</t>
        </r>
      </text>
    </comment>
    <comment ref="C101" authorId="0" shapeId="0" xr:uid="{519E8EA2-B01D-484A-A564-806F4B52BA0C}">
      <text>
        <r>
          <rPr>
            <b/>
            <sz val="9"/>
            <color indexed="81"/>
            <rFont val="Aptos Narrow"/>
            <family val="2"/>
          </rPr>
          <t>"Data centre service"</t>
        </r>
        <r>
          <rPr>
            <sz val="9"/>
            <color indexed="81"/>
            <rFont val="Aptos Narrow"/>
            <family val="2"/>
          </rPr>
          <t xml:space="preserve"> means a service that includes facilities or groups of facilities dedicated to hosting, interconnecting, and centrally operating computing and network equipment that provide data storage, processing, and transport services, as well as all related power distribution and environmental control systems and infrastructure.</t>
        </r>
      </text>
    </comment>
    <comment ref="C102" authorId="0" shapeId="0" xr:uid="{427FCC93-907D-42D0-8965-B5FF910E7FAF}">
      <text>
        <r>
          <rPr>
            <b/>
            <sz val="9"/>
            <color indexed="81"/>
            <rFont val="Aptos Narrow"/>
            <family val="2"/>
          </rPr>
          <t>"Content delivery network (CDN)"</t>
        </r>
        <r>
          <rPr>
            <sz val="9"/>
            <color indexed="81"/>
            <rFont val="Aptos Narrow"/>
            <family val="2"/>
          </rPr>
          <t xml:space="preserve"> means a geographically distributed network of servers designed to ensure high availability, accessibility, or rapid delivery of content and digital services to Internet users on behalf of content and service providers.</t>
        </r>
      </text>
    </comment>
    <comment ref="C103" authorId="0" shapeId="0" xr:uid="{CDE4B488-11A6-480F-A8BC-85A971785C93}">
      <text>
        <r>
          <rPr>
            <b/>
            <sz val="9"/>
            <color indexed="81"/>
            <rFont val="Aptos Narrow"/>
            <family val="2"/>
          </rPr>
          <t xml:space="preserve">"Trust service provider" </t>
        </r>
        <r>
          <rPr>
            <sz val="9"/>
            <color indexed="81"/>
            <rFont val="Aptos Narrow"/>
            <family val="2"/>
          </rPr>
          <t>means a trust service provider within the meaning of Article 3(19) of Regulation (EU) No 910/2014 of the European Parliament and of the Council of 23 July 2014 on electronic identification and trust services for electronic transactions in the internal market and repealing Directive 1999/93/EC.</t>
        </r>
      </text>
    </comment>
    <comment ref="C104" authorId="1" shapeId="0" xr:uid="{32CE50C2-71CA-40E4-88D4-5A5BE6CE583E}">
      <text>
        <r>
          <rPr>
            <b/>
            <sz val="9"/>
            <color indexed="81"/>
            <rFont val="Aptos Narrow"/>
            <family val="2"/>
          </rPr>
          <t xml:space="preserve">”prestator de servicii de încredere calificat” </t>
        </r>
        <r>
          <rPr>
            <sz val="9"/>
            <color indexed="81"/>
            <rFont val="Aptos Narrow"/>
            <family val="2"/>
          </rPr>
          <t>înseamnă un prestator de "Qualified trust services" means qualified trust services within the meaning of Article 3(20) of Regulation (EU) No 910/2014 of the European Parliament and of the Council of 23 July 2014 on electronic identification and trust services for electronic transactions in the internal market and repealing Directive 1999/93/EC.</t>
        </r>
      </text>
    </comment>
    <comment ref="C105" authorId="0" shapeId="0" xr:uid="{922F24AB-1F25-4D88-BFCE-972144D33EC0}">
      <text>
        <r>
          <rPr>
            <b/>
            <sz val="9"/>
            <color indexed="81"/>
            <rFont val="Aptos Narrow"/>
            <family val="2"/>
          </rPr>
          <t>"Public electronic communications network"</t>
        </r>
        <r>
          <rPr>
            <sz val="9"/>
            <color indexed="81"/>
            <rFont val="Aptos Narrow"/>
            <family val="2"/>
          </rPr>
          <t xml:space="preserve"> means a public electronic communications network within the meaning of Article 4(1)(10) of Government Emergency Ordinance No. 111/2011 on electronic communications.</t>
        </r>
      </text>
    </comment>
    <comment ref="C106" authorId="0" shapeId="0" xr:uid="{2CA2AD66-8E73-4A7D-BCCA-6D3EB14EFFA0}">
      <text>
        <r>
          <rPr>
            <b/>
            <sz val="9"/>
            <color indexed="81"/>
            <rFont val="Aptos Narrow"/>
            <family val="2"/>
          </rPr>
          <t>"Electronic communications service"</t>
        </r>
        <r>
          <rPr>
            <sz val="9"/>
            <color indexed="81"/>
            <rFont val="Aptos Narrow"/>
            <family val="2"/>
          </rPr>
          <t xml:space="preserve"> means an electronic communications service within the meaning of Article 4(1)(9) of Government Emergency Ordinance No. 111/2011 on electronic communications.</t>
        </r>
      </text>
    </comment>
    <comment ref="C108" authorId="0" shapeId="0" xr:uid="{1583BDB4-2802-48F2-BF78-40B070930D87}">
      <text>
        <r>
          <rPr>
            <b/>
            <sz val="9"/>
            <color indexed="81"/>
            <rFont val="Aptos Narrow"/>
            <family val="2"/>
          </rPr>
          <t xml:space="preserve">"Managed service provider" </t>
        </r>
        <r>
          <rPr>
            <sz val="9"/>
            <color indexed="81"/>
            <rFont val="Aptos Narrow"/>
            <family val="2"/>
          </rPr>
          <t>means an entity that provides services related to the installation, management, operation, or maintenance of ICT products, networks, infrastructures, or applications, or other network and information systems, through support or active administration, either on the client’s premises or remotely.</t>
        </r>
      </text>
    </comment>
    <comment ref="C109" authorId="0" shapeId="0" xr:uid="{DCD48C8F-B6D6-49FA-A663-1558A80B67F8}">
      <text>
        <r>
          <rPr>
            <b/>
            <sz val="9"/>
            <color indexed="81"/>
            <rFont val="Aptos Narrow"/>
            <family val="2"/>
          </rPr>
          <t xml:space="preserve">"Managed security service provider" </t>
        </r>
        <r>
          <rPr>
            <sz val="9"/>
            <color indexed="81"/>
            <rFont val="Aptos Narrow"/>
            <family val="2"/>
          </rPr>
          <t>means a managed service provider that performs or provides support for activities related to the management of cybersecurity risks.</t>
        </r>
      </text>
    </comment>
    <comment ref="C111" authorId="0" shapeId="0" xr:uid="{5A320091-3EA6-491F-970E-1FA31B8618BA}">
      <text>
        <r>
          <rPr>
            <b/>
            <sz val="9"/>
            <color indexed="81"/>
            <rFont val="Aptos Narrow"/>
            <family val="2"/>
          </rPr>
          <t>"Public administration entity"</t>
        </r>
        <r>
          <rPr>
            <sz val="9"/>
            <color indexed="81"/>
            <rFont val="Aptos Narrow"/>
            <family val="2"/>
          </rPr>
          <t xml:space="preserve"> means an authority or institution within the public administration, as defined under Article 5 letters k), l), w), and kk) of Government Emergency Ordinance No. 57/2019 on the Administrative Code, as amended and supplemented, as well as a territorial administrative unit, a body governed by public law, or an association consisting of one or more such public sector authorities or institutions, or of one or more such bodies governed by public law.</t>
        </r>
        <r>
          <rPr>
            <sz val="9"/>
            <color indexed="81"/>
            <rFont val="Aptos Narrow"/>
            <family val="2"/>
          </rPr>
          <t xml:space="preserve">
This includes central public administration entities, excluding those in the national defense, public order and national security system (SNAOPSN), the National Registry Office for Classified Information (ORNISS), higher education institutions, the judiciary, including the Public Ministry, the Romanian Parliament, the General Secretariat of the Government, the Prime Minister’s Chancellery, the Presidential Administration, the Financial Supervisory Authority (ASF), the National Bank of Romania (BNR), and the National Authority for Management and Regulation in Communications (ANCOM).</t>
        </r>
      </text>
    </comment>
    <comment ref="C113" authorId="1" shapeId="0" xr:uid="{0C867871-4735-4E29-A093-504BCA9B5A1A}">
      <text>
        <r>
          <rPr>
            <sz val="9"/>
            <color indexed="81"/>
            <rFont val="Aptos Narrow"/>
            <family val="2"/>
          </rPr>
          <t>Operators of ground infrastructure owned, managed, and operated by the Romanian state or by private entities on the territory of Romania that support the provision of space-based services, excluding providers of public electronic communications networks.</t>
        </r>
      </text>
    </comment>
    <comment ref="C116" authorId="2" shapeId="0" xr:uid="{01FADF06-8C14-4B2C-A1BB-48DF70AD8D7F}">
      <text>
        <r>
          <rPr>
            <sz val="9"/>
            <color indexed="81"/>
            <rFont val="Aptos Narrow"/>
            <family val="2"/>
          </rPr>
          <t>As defined in Article 2 point 2 of Government Emergency Ordinance No. 13/2013 on postal services, as subsequently amended and supplemented, including providers of courier services.</t>
        </r>
      </text>
    </comment>
    <comment ref="C118" authorId="2" shapeId="0" xr:uid="{6D689308-56E7-4976-9236-E47DA3569FF9}">
      <text>
        <r>
          <rPr>
            <sz val="9"/>
            <color indexed="81"/>
            <rFont val="Aptos Narrow"/>
            <family val="2"/>
          </rPr>
          <t>As defined in point 19 of Annex No. 1 to Government Emergency Ordinance No. 92/2021 on the waste regime, as subsequently amended and supplemented, excluding undertakings for which waste management is not the main economic activity.</t>
        </r>
      </text>
    </comment>
    <comment ref="C120" authorId="2" shapeId="0" xr:uid="{9FBAE92C-2E6E-40DA-93B1-92B987BBF02B}">
      <text>
        <r>
          <rPr>
            <sz val="9"/>
            <color indexed="81"/>
            <rFont val="Aptos Narrow"/>
            <family val="2"/>
          </rPr>
          <t>As referred to in Article 3 points 9 and 14 of 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and undertakings that manufacture articles, as defined in Article 3 point 3 of that Regulation, from substances or mixtures.</t>
        </r>
      </text>
    </comment>
    <comment ref="C122" authorId="2" shapeId="0" xr:uid="{39EDC823-F1D5-42C4-A051-52B8C61DBC34}">
      <text>
        <r>
          <rPr>
            <sz val="9"/>
            <color indexed="81"/>
            <rFont val="Aptos Narrow"/>
            <family val="2"/>
          </rPr>
          <t>As defined in Article 3 point (2) of Regulation (EC) No 178/2002 of the European Parliament and of the Council of 28 January 2002 laying down the general principles and requirements of food law, establishing the European Food Safety Authority, and laying down procedures in matters of food safety, and which are involved in wholesale distribution as well as in industrial production and processing.</t>
        </r>
      </text>
    </comment>
    <comment ref="C125" authorId="1" shapeId="0" xr:uid="{D6AB4641-7F26-4439-81E8-D6BD2638DF8C}">
      <text>
        <r>
          <rPr>
            <sz val="9"/>
            <color indexed="81"/>
            <rFont val="Aptos Narrow"/>
            <family val="2"/>
          </rPr>
          <t>As defined in Article 2 point 1 of Regulation (EU) 2017/745 of the European Parliament and of the Council of 5 April 2017 on medical devices, amending Directive 2001/83/EC, Regulation (EC) No 178/2002, and Regulation (EC) No 1223/2009 and repealing Council Directives 90/385/EEC and 93/42/EEC, and entities that manufacture in vitro diagnostic medical devices, as defined in Article 2 point 2 of Regulation (EU) 2017/746 of the European Parliament and of the Council of 5 April 2017 on in vitro diagnostic medical devices and repealing Directive 98/79/EC and Commission Decision 2010/227/EU, with the exception of entities that manufacture medical devices referred to in Annex I, point 5, fifth indent of this Directive.</t>
        </r>
      </text>
    </comment>
    <comment ref="C127" authorId="1" shapeId="0" xr:uid="{A897B559-9D32-45B4-959B-FBEE66ED8406}">
      <text>
        <r>
          <rPr>
            <sz val="9"/>
            <color indexed="81"/>
            <rFont val="Aptos Narrow"/>
            <family val="2"/>
          </rPr>
          <t>Undertakings carrying out any of the economic activities listed under Division 26 of the CAEN Rev. 3 classification (the Romanian equivalent of NACE Rev. 2).</t>
        </r>
      </text>
    </comment>
    <comment ref="C129" authorId="1" shapeId="0" xr:uid="{FFECE102-8B07-412F-B0B0-E177885CAD50}">
      <text>
        <r>
          <rPr>
            <sz val="9"/>
            <color indexed="81"/>
            <rFont val="Aptos Narrow"/>
            <family val="2"/>
          </rPr>
          <t xml:space="preserve">Undertakings carrying out any of the economic activities listed under Division 27 of the NACE Rev. 3 classification </t>
        </r>
      </text>
    </comment>
    <comment ref="C131" authorId="1" shapeId="0" xr:uid="{4E4488AA-DAC1-4442-940A-CAEC49524100}">
      <text>
        <r>
          <rPr>
            <sz val="9"/>
            <color indexed="81"/>
            <rFont val="Aptos Narrow"/>
            <family val="2"/>
          </rPr>
          <t>Undertakings carrying out any of the economic activities listed under Division 28 of the NACE Rev. 3</t>
        </r>
      </text>
    </comment>
    <comment ref="C133" authorId="1" shapeId="0" xr:uid="{0E021F33-3D1D-446C-8924-69FA4BCCA011}">
      <text>
        <r>
          <rPr>
            <sz val="9"/>
            <color indexed="81"/>
            <rFont val="Aptos Narrow"/>
            <family val="2"/>
          </rPr>
          <t>Undertakings carrying out any of the economic activities listed under Division 29 of the NACE Rev. 3 classification.</t>
        </r>
      </text>
    </comment>
    <comment ref="C135" authorId="1" shapeId="0" xr:uid="{5666489B-7A31-49FD-AD45-84836E8EDA01}">
      <text>
        <r>
          <rPr>
            <sz val="9"/>
            <color indexed="81"/>
            <rFont val="Aptos Narrow"/>
            <family val="2"/>
          </rPr>
          <t>Undertakings carrying out any of the economic activities listed under Division 30 of the NACE Rev. 3 classification.</t>
        </r>
      </text>
    </comment>
    <comment ref="C137" authorId="0" shapeId="0" xr:uid="{C706C5A1-47FF-4C3D-A47A-6FB25CB4F728}">
      <text>
        <r>
          <rPr>
            <b/>
            <sz val="9"/>
            <color indexed="81"/>
            <rFont val="Aptos Narrow"/>
            <family val="2"/>
          </rPr>
          <t xml:space="preserve">“Online marketplace” </t>
        </r>
        <r>
          <rPr>
            <sz val="9"/>
            <color indexed="81"/>
            <rFont val="Aptos Narrow"/>
            <family val="2"/>
          </rPr>
          <t>means a service as defined in Article 2 letter (o) of Law No. 363/2007 on combating unfair commercial practices by traders in their relationship with consumers and on harmonizing regulations with European consumer protection legislation, as subsequently amended and supplemented.</t>
        </r>
      </text>
    </comment>
    <comment ref="C138" authorId="0" shapeId="0" xr:uid="{9E125218-359D-490B-90F9-3659CEFDFF15}">
      <text>
        <r>
          <rPr>
            <b/>
            <sz val="9"/>
            <color indexed="81"/>
            <rFont val="Aptos Narrow"/>
            <family val="2"/>
          </rPr>
          <t>“Online search engine”</t>
        </r>
        <r>
          <rPr>
            <sz val="9"/>
            <color indexed="81"/>
            <rFont val="Aptos Narrow"/>
            <family val="2"/>
          </rPr>
          <t xml:space="preserve"> means an online search engine as defined in Article 2 point (5) of Regulation (EU) 2019/1150 of the European Parliament and of the Council of 20 June 2019 on promoting fairness and transparency for business users of online intermediation services.</t>
        </r>
      </text>
    </comment>
    <comment ref="C139" authorId="0" shapeId="0" xr:uid="{E34CE5D1-8510-4C14-849F-83D4854F3915}">
      <text>
        <r>
          <rPr>
            <b/>
            <sz val="9"/>
            <color indexed="81"/>
            <rFont val="Aptos Narrow"/>
            <family val="2"/>
          </rPr>
          <t>“Online social networking service platform”</t>
        </r>
        <r>
          <rPr>
            <sz val="9"/>
            <color indexed="81"/>
            <rFont val="Aptos Narrow"/>
            <family val="2"/>
          </rPr>
          <t xml:space="preserve"> means a platform that enables end users to connect, share, discover, and communicate with each other across multiple devices, including through online conversations, posts, videos, and recommendations.</t>
        </r>
      </text>
    </comment>
    <comment ref="C141" authorId="0" shapeId="0" xr:uid="{3139894E-3F6A-4AB6-9B6A-6817FD685404}">
      <text>
        <r>
          <rPr>
            <b/>
            <sz val="9"/>
            <color indexed="81"/>
            <rFont val="Aptos Narrow"/>
            <family val="2"/>
          </rPr>
          <t xml:space="preserve">“Research organization” </t>
        </r>
        <r>
          <rPr>
            <sz val="9"/>
            <color indexed="81"/>
            <rFont val="Aptos Narrow"/>
            <family val="2"/>
          </rPr>
          <t>means an entity whose primary objective is to carry out applied research or experimental development activities with the aim of exploiting the results of such research for commercial purposes, but which does not include educational institutions.</t>
        </r>
      </text>
    </comment>
    <comment ref="C150" authorId="0" shapeId="0" xr:uid="{A9584A88-C945-496E-97CC-18AC8CD1EF1F}">
      <text>
        <r>
          <rPr>
            <sz val="9"/>
            <color indexed="81"/>
            <rFont val="Aptos Narrow"/>
            <family val="2"/>
          </rPr>
          <t>The entity is established and registered in the territory of Romania in accordance with legal provisions.
The concept of establishment simply implies the effective exercise of an activity through a permanent facility, regardless of the legal form adopted, whether it is the registered office or a branch with legal personality.</t>
        </r>
      </text>
    </comment>
    <comment ref="C151" authorId="0" shapeId="0" xr:uid="{05926B32-042B-4783-BB0A-42C1342698AC}">
      <text>
        <r>
          <rPr>
            <sz val="9"/>
            <color indexed="81"/>
            <rFont val="Aptos Narrow"/>
            <family val="2"/>
          </rPr>
          <t>According to Government Emergency Ordinance no. 155/2024, the main establishment, as referred to in Article 7(3), is determined as follows:
a) It is the establishment where decisions related to the management of cybersecurity risk measures are predominantly taken;
b) If the main establishment cannot be determined according to point (a), it is considered to be the establishment where cybersecurity operations are carried out;
c) If the main establishment cannot be determined according to point (b), it shall be considered to be the establishment located in the Member State where the entity has the highest number of employees.
NOTE: You cannot have your main establishment in Romania without also being established in Romania.</t>
        </r>
        <r>
          <rPr>
            <i/>
            <sz val="9"/>
            <color indexed="81"/>
            <rFont val="Aptos Narrow"/>
            <family val="2"/>
          </rPr>
          <t>.</t>
        </r>
      </text>
    </comment>
    <comment ref="C153" authorId="1" shapeId="0" xr:uid="{2961C8C7-D31A-4881-A376-C542C03BA4F6}">
      <text>
        <r>
          <rPr>
            <sz val="9"/>
            <color indexed="81"/>
            <rFont val="Aptos Narrow"/>
            <family val="2"/>
          </rPr>
          <t>The entity is/has been identified as a critical entity in Romania (in accordance with Law No. 294/2024 on the resilience of critical entities).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<sst xmlns="http://schemas.openxmlformats.org/spreadsheetml/2006/main" count="986" uniqueCount="636">
  <si>
    <t>V0</t>
  </si>
  <si>
    <t>V1.0</t>
  </si>
  <si>
    <t>TLP:GREEN</t>
  </si>
  <si>
    <t>Sector</t>
  </si>
  <si>
    <t>Mare</t>
  </si>
  <si>
    <t>Nu</t>
  </si>
  <si>
    <t>TRANSPORT</t>
  </si>
  <si>
    <t>Transport public</t>
  </si>
  <si>
    <t>Operatorii de servicii publice</t>
  </si>
  <si>
    <t>JUDEȚ</t>
  </si>
  <si>
    <t>NU</t>
  </si>
  <si>
    <t>9a</t>
  </si>
  <si>
    <t>9b</t>
  </si>
  <si>
    <t>9c</t>
  </si>
  <si>
    <t>9d</t>
  </si>
  <si>
    <t>Adevărat</t>
  </si>
  <si>
    <t>Impact</t>
  </si>
  <si>
    <t>Risc</t>
  </si>
  <si>
    <t>Nivel</t>
  </si>
  <si>
    <t>Dimensiunea</t>
  </si>
  <si>
    <t>Importanță sector</t>
  </si>
  <si>
    <t>Da/Nu</t>
  </si>
  <si>
    <t>Număr salariați</t>
  </si>
  <si>
    <t>Cifră de afaceri anuală</t>
  </si>
  <si>
    <t>Total Active anuale</t>
  </si>
  <si>
    <t>Dimensiunea companiei</t>
  </si>
  <si>
    <t>Rezultat</t>
  </si>
  <si>
    <t>Cod Rezultat</t>
  </si>
  <si>
    <t>Reședință</t>
  </si>
  <si>
    <t>ID_JUD</t>
  </si>
  <si>
    <t>CODAR</t>
  </si>
  <si>
    <t>CP(2)</t>
  </si>
  <si>
    <t>COD</t>
  </si>
  <si>
    <t>Nomenclator NIS2</t>
  </si>
  <si>
    <t>ID Categorie</t>
  </si>
  <si>
    <t>ID Sector</t>
  </si>
  <si>
    <t>ID Subsector</t>
  </si>
  <si>
    <t>ID Tip Entitate</t>
  </si>
  <si>
    <t>Acronim</t>
  </si>
  <si>
    <t>Cifra dimensiunii</t>
  </si>
  <si>
    <t>CR</t>
  </si>
  <si>
    <t>R</t>
  </si>
  <si>
    <t>CODS</t>
  </si>
  <si>
    <t>SECTOARE NIS2</t>
  </si>
  <si>
    <t>CODSs</t>
  </si>
  <si>
    <t>SUBSECTOARE NIS2</t>
  </si>
  <si>
    <t>Întreprindere mică sau microîntreprindere</t>
  </si>
  <si>
    <t>Vă rugăm să răspundeți la toate întrebările pentru a finaliza evaluarea.</t>
  </si>
  <si>
    <t>Alba</t>
  </si>
  <si>
    <t>Alba-Iulia</t>
  </si>
  <si>
    <t>AB</t>
  </si>
  <si>
    <t>RO171</t>
  </si>
  <si>
    <t>DNSC vă sfătuiește să:
&amp; vă înregistrați, voluntar, pentru a fi alertați cu privire la potențialele amenințări și vulnerabilități din rețelele și sistemele informatice.
&amp; implementați Cadrul fundamental pentru securitate cibernetică, nivel BASIC, în vederea îmbunătățirii nivelul de securitate cibernetică al entității dumneavoastră.
Cadrele fundamentale pentru securitate cibernetică (niveluri: BASIC, IMPORTANT și ESENȚIAL) se găsesc pe site-urile instituției (dnsc[.]ro și/sau platformanis2[.]ro).
În plus, dacă sunteți furnizor sau prestator de servicii pentru o entitate NIS2 aceasta vă poate impune măsuri de securitate (suplimentare) ca parte a obligațiilor sale privind securitatea lanțului de aprovizionare.</t>
  </si>
  <si>
    <t>Mică și micro</t>
  </si>
  <si>
    <t>S</t>
  </si>
  <si>
    <t>RIDICAT</t>
  </si>
  <si>
    <t>ESENȚIAL</t>
  </si>
  <si>
    <t>NAȚIONAL</t>
  </si>
  <si>
    <t>L</t>
  </si>
  <si>
    <t>CRITICĂ RIDICATĂ</t>
  </si>
  <si>
    <t>E</t>
  </si>
  <si>
    <t>I</t>
  </si>
  <si>
    <t>0 - 49</t>
  </si>
  <si>
    <t>&lt; 10 million €</t>
  </si>
  <si>
    <t>Întreprindere mijlocie</t>
  </si>
  <si>
    <t>Arad</t>
  </si>
  <si>
    <t>AR</t>
  </si>
  <si>
    <t>RO451</t>
  </si>
  <si>
    <r>
      <t>Aveți obligația de a:
&amp; vă înregistra în Registrul entităților la DNSC (folosind ca metodă de transmitere a informațiilor, după caz, pe PlatformaNIS2[.]ro, prin email nis@dnsc[.]ro, la sediu DNSC str. Italiană 22, sector 2, București, CP 020967 - aplicând procedura și modalitățile specificate în Cerințele privind procesul de notificare în vederea înregistrării și metoda de transmitere a informațiilor, aprobate prin ODDNSC nr. nnn/2025;
&amp; lua măsuri de gestionare a riscurilor de securitate cibernetică, prin aplicarea Cadrelor fundamentale pentru securitate cibernetică (niveluri: BASIC, IMPORTANT și ESENȚIAL), în funcție de rezultatul evaluării riscului entității - aplicând Metodologia de evaluare a nivelului de risc al entităților, aprobată prin ODDNSC nr. nnn/2025, respectiv Instrumentul ERENIS@RO;
&amp; raporta incidentele semnificative la autoritatea competentă națională pe platforma PNRISC (pnrisc.dnsc[.]ro/);
&amp; coopera cu autoritățile competente (la nivel național și sectorial), în special în ceea ce privește supravegherea (inclusiv evaluarea periodică a conformității pentru entitățile esențiale).
Mai multe informații privind conținutul legislația NIS2 sunt disponibile pe site-urile nostre (</t>
    </r>
    <r>
      <rPr>
        <b/>
        <sz val="10"/>
        <rFont val="Trebuchet MS"/>
        <family val="2"/>
      </rPr>
      <t>dnsc[.]ro</t>
    </r>
    <r>
      <rPr>
        <sz val="10"/>
        <rFont val="Trebuchet MS"/>
        <family val="2"/>
      </rPr>
      <t xml:space="preserve">; </t>
    </r>
    <r>
      <rPr>
        <b/>
        <sz val="10"/>
        <rFont val="Trebuchet MS"/>
        <family val="2"/>
      </rPr>
      <t>platformanis2[.]ro</t>
    </r>
    <r>
      <rPr>
        <sz val="10"/>
        <rFont val="Trebuchet MS"/>
        <family val="2"/>
      </rPr>
      <t>).</t>
    </r>
  </si>
  <si>
    <t>Mijlocie</t>
  </si>
  <si>
    <t>M</t>
  </si>
  <si>
    <t>IMPORTANT</t>
  </si>
  <si>
    <t>REGIONAL</t>
  </si>
  <si>
    <t>CRITICĂ</t>
  </si>
  <si>
    <t>Transport</t>
  </si>
  <si>
    <t>50 - 249</t>
  </si>
  <si>
    <t>10 – 50 million €</t>
  </si>
  <si>
    <t>10 – 43 million €</t>
  </si>
  <si>
    <t>Întreprindere mare</t>
  </si>
  <si>
    <t>Argeș</t>
  </si>
  <si>
    <t>Pitești</t>
  </si>
  <si>
    <t>AG</t>
  </si>
  <si>
    <t>RO331</t>
  </si>
  <si>
    <r>
      <t xml:space="preserve">În cazul în care vă îndoiți dacă sunteți sau nu în domeniul de aplicare al NIS2, DNSC vă sfătuiește să implementați </t>
    </r>
    <r>
      <rPr>
        <i/>
        <sz val="10"/>
        <rFont val="Trebuchet MS"/>
        <family val="2"/>
      </rPr>
      <t>Cadrul fundamental pentru securitate cibernetică - nivel BASIC (de bază)</t>
    </r>
    <r>
      <rPr>
        <sz val="10"/>
        <rFont val="Trebuchet MS"/>
        <family val="2"/>
      </rPr>
      <t xml:space="preserve"> pentru o primă etapă de asigurare a securității cibernetice la nivelul entității dumneavoastră.
</t>
    </r>
    <r>
      <rPr>
        <i/>
        <sz val="10"/>
        <rFont val="Trebuchet MS"/>
        <family val="2"/>
      </rPr>
      <t>Cadrele fundamentale pentru securitate cibernetică (niveluri: BASIC, IMPORTANT și ESENȚIAL) se găsesc pe site-ul instituției (dnsc.ro) și/sau pe PlatformaNIS2 (platformanis2.ro).</t>
    </r>
  </si>
  <si>
    <t>BASIC</t>
  </si>
  <si>
    <t>NON-CRITICĂ</t>
  </si>
  <si>
    <t>N/A</t>
  </si>
  <si>
    <t>&gt;=  250</t>
  </si>
  <si>
    <t>&gt; 50 million €</t>
  </si>
  <si>
    <t>&gt; 43 million €</t>
  </si>
  <si>
    <t>Vă rugăm să completați toate cele 3 criterii pentru stabilirea dimensiunii entității.</t>
  </si>
  <si>
    <t>Bacău</t>
  </si>
  <si>
    <t>BC</t>
  </si>
  <si>
    <t>RO211</t>
  </si>
  <si>
    <t>NA</t>
  </si>
  <si>
    <t>În afara domeniului de aplicare, înregistrare voluntară</t>
  </si>
  <si>
    <t>Bihor</t>
  </si>
  <si>
    <t>Oradea</t>
  </si>
  <si>
    <t>BH</t>
  </si>
  <si>
    <t>RO161</t>
  </si>
  <si>
    <t>Entitate esențială (Administrație publică)</t>
  </si>
  <si>
    <t>Bistrița-Năsăud</t>
  </si>
  <si>
    <t>Bistrița</t>
  </si>
  <si>
    <t>BN</t>
  </si>
  <si>
    <t>RO162</t>
  </si>
  <si>
    <t>OUG</t>
  </si>
  <si>
    <t>RAȚIUNEA</t>
  </si>
  <si>
    <t>VALOARE</t>
  </si>
  <si>
    <t>D</t>
  </si>
  <si>
    <t>SC</t>
  </si>
  <si>
    <t>EVALUARE</t>
  </si>
  <si>
    <t>Botoșani</t>
  </si>
  <si>
    <t>BT</t>
  </si>
  <si>
    <t>RO212</t>
  </si>
  <si>
    <t>Cod dimensiune</t>
  </si>
  <si>
    <t>CRITERII</t>
  </si>
  <si>
    <t>Descriere</t>
  </si>
  <si>
    <t>Brașov</t>
  </si>
  <si>
    <t>BV</t>
  </si>
  <si>
    <t>RO172</t>
  </si>
  <si>
    <t>Număr mediu salariați</t>
  </si>
  <si>
    <t>Cifra de afaceri</t>
  </si>
  <si>
    <t>Total active</t>
  </si>
  <si>
    <t>Brăila</t>
  </si>
  <si>
    <t>BR</t>
  </si>
  <si>
    <t>RO221</t>
  </si>
  <si>
    <t xml:space="preserve"> </t>
  </si>
  <si>
    <t>-</t>
  </si>
  <si>
    <t>Micro</t>
  </si>
  <si>
    <t>Microîntreprindere</t>
  </si>
  <si>
    <t>Buzău</t>
  </si>
  <si>
    <t>BZ</t>
  </si>
  <si>
    <t>RO222</t>
  </si>
  <si>
    <t>Mică</t>
  </si>
  <si>
    <t>Întreprindere mică</t>
  </si>
  <si>
    <t>Caraș-Severin</t>
  </si>
  <si>
    <t>CS</t>
  </si>
  <si>
    <t>RO452</t>
  </si>
  <si>
    <t>Călărași</t>
  </si>
  <si>
    <t>CL</t>
  </si>
  <si>
    <t>RO332</t>
  </si>
  <si>
    <t>Cluj</t>
  </si>
  <si>
    <t>Cluj-Napoca</t>
  </si>
  <si>
    <t>CJ</t>
  </si>
  <si>
    <t>RO163</t>
  </si>
  <si>
    <t>Constanța</t>
  </si>
  <si>
    <t>CT</t>
  </si>
  <si>
    <t>RO223</t>
  </si>
  <si>
    <t>Covasna</t>
  </si>
  <si>
    <t>Sfântu Gheorghe</t>
  </si>
  <si>
    <t>CV</t>
  </si>
  <si>
    <t>RO173</t>
  </si>
  <si>
    <t>Prestator de servicii de încredere</t>
  </si>
  <si>
    <t>Dâmbovița</t>
  </si>
  <si>
    <t>Târgoviște</t>
  </si>
  <si>
    <t>DB</t>
  </si>
  <si>
    <t>RO333</t>
  </si>
  <si>
    <t>Dolj</t>
  </si>
  <si>
    <t>Craiova</t>
  </si>
  <si>
    <t>DJ</t>
  </si>
  <si>
    <t>RO441</t>
  </si>
  <si>
    <t>Calificat</t>
  </si>
  <si>
    <t>Galați</t>
  </si>
  <si>
    <t>GL</t>
  </si>
  <si>
    <t>RO224</t>
  </si>
  <si>
    <t>Necalificat</t>
  </si>
  <si>
    <t>Giurgiu</t>
  </si>
  <si>
    <t>GR</t>
  </si>
  <si>
    <t>RO334</t>
  </si>
  <si>
    <t>Gorj</t>
  </si>
  <si>
    <t>Târgu Jiu</t>
  </si>
  <si>
    <t>GJ</t>
  </si>
  <si>
    <t>RO442</t>
  </si>
  <si>
    <t>Harghita</t>
  </si>
  <si>
    <t>Miercurea Ciuc</t>
  </si>
  <si>
    <t>HR</t>
  </si>
  <si>
    <t>RO174</t>
  </si>
  <si>
    <t>Hunedoara</t>
  </si>
  <si>
    <t>Deva</t>
  </si>
  <si>
    <t>HD</t>
  </si>
  <si>
    <t>RO453</t>
  </si>
  <si>
    <t>Ialomița</t>
  </si>
  <si>
    <t>Slobozia</t>
  </si>
  <si>
    <t>IL</t>
  </si>
  <si>
    <t>RO335</t>
  </si>
  <si>
    <t>Iași</t>
  </si>
  <si>
    <t>IS</t>
  </si>
  <si>
    <t>RO213</t>
  </si>
  <si>
    <t>Ilfov</t>
  </si>
  <si>
    <t>București</t>
  </si>
  <si>
    <t>IF</t>
  </si>
  <si>
    <t>RO382</t>
  </si>
  <si>
    <t>Maramureș</t>
  </si>
  <si>
    <t>Baia Mare</t>
  </si>
  <si>
    <t>MM</t>
  </si>
  <si>
    <t>RO164</t>
  </si>
  <si>
    <t>Mehedinți</t>
  </si>
  <si>
    <t>Drobeta Turnu-Severin</t>
  </si>
  <si>
    <t>MH</t>
  </si>
  <si>
    <t>RO443</t>
  </si>
  <si>
    <t>Mureș</t>
  </si>
  <si>
    <t>Târgu Mureș</t>
  </si>
  <si>
    <t>MS</t>
  </si>
  <si>
    <t>RO175</t>
  </si>
  <si>
    <t>Neamț</t>
  </si>
  <si>
    <t>Piatra Neamț</t>
  </si>
  <si>
    <t>NT</t>
  </si>
  <si>
    <t>RO214</t>
  </si>
  <si>
    <t>Olt</t>
  </si>
  <si>
    <t>Slatina</t>
  </si>
  <si>
    <t>OT</t>
  </si>
  <si>
    <t>RO444</t>
  </si>
  <si>
    <t>Prahova</t>
  </si>
  <si>
    <t>Ploiești</t>
  </si>
  <si>
    <t>PH</t>
  </si>
  <si>
    <t>RO336</t>
  </si>
  <si>
    <t>Satu Mare</t>
  </si>
  <si>
    <t>SM</t>
  </si>
  <si>
    <t>RO165</t>
  </si>
  <si>
    <t>Sălaj</t>
  </si>
  <si>
    <t>Zalău</t>
  </si>
  <si>
    <t>SJ</t>
  </si>
  <si>
    <t>RO166</t>
  </si>
  <si>
    <t>Sibiu</t>
  </si>
  <si>
    <t>SB</t>
  </si>
  <si>
    <t>RO176</t>
  </si>
  <si>
    <t>Suceava</t>
  </si>
  <si>
    <t>SV</t>
  </si>
  <si>
    <t>RO215</t>
  </si>
  <si>
    <t>Teleorman</t>
  </si>
  <si>
    <t>Alexandria</t>
  </si>
  <si>
    <t>TR</t>
  </si>
  <si>
    <t>RO337</t>
  </si>
  <si>
    <t>Timiș</t>
  </si>
  <si>
    <t>Timișoara</t>
  </si>
  <si>
    <t>TM</t>
  </si>
  <si>
    <t>RO454</t>
  </si>
  <si>
    <t>Tulcea</t>
  </si>
  <si>
    <t>TL</t>
  </si>
  <si>
    <t>RO225</t>
  </si>
  <si>
    <t>Vaslui</t>
  </si>
  <si>
    <t>VS</t>
  </si>
  <si>
    <t>RO216</t>
  </si>
  <si>
    <t>Vâlcea</t>
  </si>
  <si>
    <t>Râmnicu Vâlcea</t>
  </si>
  <si>
    <t>VL</t>
  </si>
  <si>
    <t>RO445</t>
  </si>
  <si>
    <t>Vrancea</t>
  </si>
  <si>
    <t>Focșani</t>
  </si>
  <si>
    <t>VN</t>
  </si>
  <si>
    <t>RO226</t>
  </si>
  <si>
    <t>B</t>
  </si>
  <si>
    <t>RO381</t>
  </si>
  <si>
    <t>B1</t>
  </si>
  <si>
    <t>RO3811</t>
  </si>
  <si>
    <t>B2</t>
  </si>
  <si>
    <t>RO3812</t>
  </si>
  <si>
    <t>B3</t>
  </si>
  <si>
    <t>RO3813</t>
  </si>
  <si>
    <t>B4</t>
  </si>
  <si>
    <t>RO3814</t>
  </si>
  <si>
    <t>B5</t>
  </si>
  <si>
    <t>RO3815</t>
  </si>
  <si>
    <t>B6</t>
  </si>
  <si>
    <t>RO3816</t>
  </si>
  <si>
    <t>Serviciu furnizat</t>
  </si>
  <si>
    <t>Subsector</t>
  </si>
  <si>
    <t>prioritate</t>
  </si>
  <si>
    <t>Anexa 1</t>
  </si>
  <si>
    <t>Mijlociu</t>
  </si>
  <si>
    <t>Important</t>
  </si>
  <si>
    <t>Esențial</t>
  </si>
  <si>
    <t>Telecomunicații</t>
  </si>
  <si>
    <t>Anexa 2</t>
  </si>
  <si>
    <t>Toate din Anexa 2</t>
  </si>
  <si>
    <t>Art 9</t>
  </si>
  <si>
    <t>V0.1</t>
  </si>
  <si>
    <t>V0.2</t>
  </si>
  <si>
    <r>
      <rPr>
        <b/>
        <sz val="9"/>
        <rFont val="Trebuchet MS"/>
        <family val="2"/>
      </rPr>
      <t xml:space="preserve">Singurul furnizor al unui serviciu care este esențial </t>
    </r>
    <r>
      <rPr>
        <sz val="9"/>
        <rFont val="Trebuchet MS"/>
        <family val="2"/>
      </rPr>
      <t>pentru susținerea unor activități societale și economice critice.</t>
    </r>
  </si>
  <si>
    <r>
      <t>Perturbarea serviciului furnizat de entitate ar putea</t>
    </r>
    <r>
      <rPr>
        <b/>
        <sz val="9"/>
        <rFont val="Trebuchet MS"/>
        <family val="2"/>
      </rPr>
      <t xml:space="preserve"> avea un impact semnificativ</t>
    </r>
    <r>
      <rPr>
        <sz val="9"/>
        <rFont val="Trebuchet MS"/>
        <family val="2"/>
      </rPr>
      <t xml:space="preserve"> asupra siguranței publice, a securității publice sau a sănătății publice.</t>
    </r>
  </si>
  <si>
    <r>
      <t xml:space="preserve">Perturbarea serviciului furnizat de entitate ar putea </t>
    </r>
    <r>
      <rPr>
        <b/>
        <sz val="9"/>
        <rFont val="Trebuchet MS"/>
        <family val="2"/>
      </rPr>
      <t>genera un risc sistemic semnificativ</t>
    </r>
    <r>
      <rPr>
        <sz val="9"/>
        <rFont val="Trebuchet MS"/>
        <family val="2"/>
      </rPr>
      <t>, în special pentru sectoarele în care o astfel de perturbare ar putea avea un impact transfrontalier;</t>
    </r>
  </si>
  <si>
    <r>
      <t xml:space="preserve">Entitatea este critică datorită </t>
    </r>
    <r>
      <rPr>
        <b/>
        <sz val="9"/>
        <rFont val="Trebuchet MS"/>
        <family val="2"/>
      </rPr>
      <t>importanței sale specifice la nivel național</t>
    </r>
    <r>
      <rPr>
        <sz val="9"/>
        <rFont val="Trebuchet MS"/>
        <family val="2"/>
      </rPr>
      <t xml:space="preserve"> sau </t>
    </r>
    <r>
      <rPr>
        <b/>
        <sz val="9"/>
        <rFont val="Trebuchet MS"/>
        <family val="2"/>
      </rPr>
      <t>regional</t>
    </r>
    <r>
      <rPr>
        <sz val="9"/>
        <rFont val="Trebuchet MS"/>
        <family val="2"/>
      </rPr>
      <t xml:space="preserve"> pentru sectorul sau tipul de servicii în cauză sau pentru alte sectoare interdependente.</t>
    </r>
  </si>
  <si>
    <t>prio5</t>
  </si>
  <si>
    <t>prio6</t>
  </si>
  <si>
    <t>Aplicarea Legii nr. 294/2024</t>
  </si>
  <si>
    <t>MSSP</t>
  </si>
  <si>
    <t>Blocare</t>
  </si>
  <si>
    <t>DNS, TLD</t>
  </si>
  <si>
    <t>furnizorii de piețe online, de motoare de căutare online și de platforme de servicii de socializare în rețea</t>
  </si>
  <si>
    <t>furnizorii de servicii de cloud computing, furnizorii de servicii de centre de date, furnizorii de rețele de furnizare de conținut, furnizorii de servicii gestionate</t>
  </si>
  <si>
    <t>Art.9</t>
  </si>
  <si>
    <t>Art. 9 la C4</t>
  </si>
  <si>
    <t>Art. 9 la C7 și C9</t>
  </si>
  <si>
    <t xml:space="preserve">Update </t>
  </si>
  <si>
    <t>Administrație Publică Centrală RO</t>
  </si>
  <si>
    <t>Prestatori calificati</t>
  </si>
  <si>
    <t>energie, transport, bancar, financiar, sanatate, potabila, uzate, spațial, IXP</t>
  </si>
  <si>
    <t>Prestatorii necalificati</t>
  </si>
  <si>
    <t>Art. 9</t>
  </si>
  <si>
    <t>Condiție specială</t>
  </si>
  <si>
    <t>D160</t>
  </si>
  <si>
    <t>D158 - Înregistrat în RO</t>
  </si>
  <si>
    <t>D159 - Sediul principal în RO</t>
  </si>
  <si>
    <t>D160 - Este înființată de Ro</t>
  </si>
  <si>
    <t>D167 - Furnizează servicii în RO</t>
  </si>
  <si>
    <t>V2.0</t>
  </si>
  <si>
    <t>TOOL</t>
  </si>
  <si>
    <t>(NIS2@RO Tool)</t>
  </si>
  <si>
    <t>The preliminary evaluation and notification form generator tool (NIS2@RO Tool) is developed by the Romanian National Cyber Security Directorate (DNSC), based on the "NIS2 scope assessment" concept developed by the Belgian Cybersecurity Center (CCB).
The NIS2@RO tool is useful for supporting entities in Romania in assessing if they fall within the scope of  OUG No. 155/2024, approved with amendments and additions by Law No. 124/2025 and generating the notification form in order to submit it to DNSC for the purpose of registration in the Entities Register.
After filling in the required data and info, the tool facilitates the generation of the notification form, at the user's request. Depending on the available transmission method, the form is sent, accompanied, where applicable, by additional documents, accepted and signed electronically.</t>
  </si>
  <si>
    <t>Change log</t>
  </si>
  <si>
    <t>Date</t>
  </si>
  <si>
    <t>Version</t>
  </si>
  <si>
    <t>Explanation</t>
  </si>
  <si>
    <t>Initial version (RO)</t>
  </si>
  <si>
    <t>Updated version according to OUG no. 155/2024</t>
  </si>
  <si>
    <t>Updated version in accordance with Law No. 124/2025</t>
  </si>
  <si>
    <t>Final version (RO)</t>
  </si>
  <si>
    <t>First version (EN)</t>
  </si>
  <si>
    <t>Version:</t>
  </si>
  <si>
    <t>The Notification Form Generator and Preliminary Assessment Tool (NIS2@RO Tool) was developed by the Romanian National Cyber Security Directorate (DNSC).</t>
  </si>
  <si>
    <t>Based on OUG No. 155/2024, approved, with amendments and additions, by Law No. 124/2025, the DNSC has identified and managed 18 sectors, classified as sectors of high critical importance (11) and other sectors of critical importance (7). Sixteen subsectors (plus one identified by Law No. 294/2024) were also identified, namely 10 (plus one identified by Law No. 294/2024) for the first category of sectors (in Annex No. 1) and 6 for the second category (in Annex No. 2).</t>
  </si>
  <si>
    <t>FOR THE ASSESSMENT OF FALLING WITHIN THE SCOPE OF APPLICATION OF OUG NO. 155/2024 (APPROVED, WITH AMENDMENTS AND ADDITIONS, BY LAW NO. 124/2025) AND GENERATING THE NOTIFICATION FORM, ENTITIES IN ROMANIA SHALL MANDATORILY USE ONE OF THE TWO TOOLS DEVELOPED BY DNSC, PLATFORMANIS2.RO OR THE NIS2@RO TOOL.</t>
  </si>
  <si>
    <t>IN THE CASE OF THE NIS2@RO TOOL, ENTITIES AS DEFINED IN ARTICLE 4 LETTER F) OF OUG NO. 155/2024 (approved, with amendments and additions, by Law No. 124/2025) SHALL DOWNLOAD AND USE IT.</t>
  </si>
  <si>
    <t>The NIS2@RO Tool can be downloaded from the DNSC website, dnsc.ro or platformanis2.ro, and run locally. To run and use the tool, the entity must have Microsoft Excel.</t>
  </si>
  <si>
    <t>In order to assess whether it falls within the scope of OUG No. 155/2024 (approved, with amendments and additions, by Law No. 124/2025), the following steps are taken:</t>
  </si>
  <si>
    <t>Step 1. Entity identification</t>
  </si>
  <si>
    <t>§1. Filling in the entity's identification data</t>
  </si>
  <si>
    <t>Select the “/«Entity data»/” sheet and fill in the data and information about the entity, as required.</t>
  </si>
  <si>
    <t>Note:/. The data/information entered is mandatory and will be used to generate the notification form. It must be completed responsibly and in accordance with the requirements of the worksheet, using accurate and reliable information.</t>
  </si>
  <si>
    <t>§2. Running the assessment tool</t>
  </si>
  <si>
    <t>After filling in the entity identification data, proceed to assess whether it falls within the scope of the regulatory act, select the link (Entity assessment) on the right side of the assessment date or select the "Entity assessment" sheet.</t>
  </si>
  <si>
    <t>Step 2. Assessment of falling within the scope of application of OUG No. 155/2024 (approved, with amendments and additions, by Law No. 124/2025)</t>
  </si>
  <si>
    <t>§1. Fill in the details about the size of the entity</t>
  </si>
  <si>
    <t>Fill in the Entity size section, namely: Average annual number of employees, Annual net turnover, Total assets, and select the size of the entity from the available list. Please note! All three characteristics must be completed, except for the central public administration.</t>
  </si>
  <si>
    <t>§2. Filling in the services provided according to sectors/sub-sectors</t>
  </si>
  <si>
    <t>All services provided shall be completed by selecting "Yes" corresponding to the type of entity (by sector and, where applicable, subsector).</t>
  </si>
  <si>
    <t>Based on the data entered, the tool will generate a number in the “/«Status of services provided»/” field, which corresponds to the number of services selected and provided by the entity.</t>
  </si>
  <si>
    <t>If the data entered into the platform did not allow determining whether the entity falls into the "essential" or "important" category, in order to complete the classification, it is necessary to fill in the information regarding the disruptive effect in accordance with DNSC Director's Order no. 2/2025. Proceed to fill in section Application of Art. 9 in accordance with Art. 10 para. (2) of OUG No. 155/2024.</t>
  </si>
  <si>
    <t>The entity performing the assessment of compliance with the scope of OUG No. 155/2024 (approved, with amendments and additions, by Law No. 124/2025), depending on the services provided and the data and information provided, shall be required to answer all four questions in this section.
All the relevant fields shall be completed as follows: "Yes" or "No" (9a and 9d); "High," "Medium," or "Low" (9b and 9c).</t>
  </si>
  <si>
    <t>The section "Relationship of the entity with the Romanian state" is filled in.</t>
  </si>
  <si>
    <t>Depending on the data/information entered in the section DATA ON SERVICES PROVIDED (BY SECTOR/SUBSECTOR), certain fields in the section RELATIONSHIP OF THE ENTITY WITH THE ROMANIAN STATE are marked and must be completed.
All marked fields in the section must be completed by selecting the "Yes" or "No" answer corresponding to each question.</t>
  </si>
  <si>
    <t>The section on the provision of services in the EU shall be completed.</t>
  </si>
  <si>
    <t>Both answers must be completed by selecting "Yes" or "No" for each question.
If you do not answer, a final result cannot be generated, and the NIS2@RO Tool will generate a warning message: Please answer all questions to receive the recommendation!
If you provide services in other EU countries, please specify the country and address of your headquarters in that country.</t>
  </si>
  <si>
    <t>Preliminary assessment</t>
  </si>
  <si>
    <t>After completing all the previous steps (§1 - §5), if all the required answers have been filled in correctly and in accordance with OUG No. 155/2024 (approved, with amendments and additions, by Law No. 124/2025), the NIS2 Tool generates a preliminary assessment, namely: Outside the scope (the entity is not required to apply the legislation transposing the NIS2 Directive); Important entity (the entity qualifies as an important entity); Essential entity (the entity qualifies as an essential entity).</t>
  </si>
  <si>
    <r>
      <t xml:space="preserve">Warning! </t>
    </r>
    <r>
      <rPr>
        <b/>
        <sz val="11"/>
        <rFont val="Trebuchet MS"/>
        <family val="2"/>
      </rPr>
      <t>Regardless of the preliminary assessment generated by the NIS2@RO Tool, please submit the form to DNSC for confirmation of the entity's status. The preliminary assessment generated is intended to guide the user through the notification process.</t>
    </r>
  </si>
  <si>
    <r>
      <rPr>
        <b/>
        <i/>
        <sz val="11"/>
        <color rgb="FFC00000"/>
        <rFont val="Trebuchet MS"/>
        <family val="2"/>
      </rPr>
      <t xml:space="preserve">Warning! </t>
    </r>
    <r>
      <rPr>
        <b/>
        <i/>
        <sz val="11"/>
        <rFont val="Trebuchet MS"/>
        <family val="2"/>
      </rPr>
      <t>If you wish to reuse the tool, you must restore it to its initial state, i.e. reset all modified/populated information.</t>
    </r>
  </si>
  <si>
    <t>To generate the notification form, proceed as follows:</t>
  </si>
  <si>
    <t>GENERATING THE NOTIFICATION FORM</t>
  </si>
  <si>
    <t>After finalizing the assessment process for compliance with the scope of OUG No. 155/2024 (approved, with amendments and additions, by Law No. 124/2025) and obtaining the preliminary assessment, the entity will generate the notification form, which will be sent to DNSC accompanied, where applicable, supporting documents (attached) in order to be registered in the Register of Entities. Select the link: Notification form, the form will be generated and then saved in PDF format. After approval and signing, it will be sent to DNSC accompanied, where applicable, by attached documents.
The notification form is generated in PDF format and is not editable.</t>
  </si>
  <si>
    <t xml:space="preserve">Useful information </t>
  </si>
  <si>
    <t xml:space="preserve">1st scenario. The entity is included in the scope of OUG No. 155/2024 (approved, with amendments and additions, by Law No. 124/2025) as an essential or important entity. </t>
  </si>
  <si>
    <t>In this scenario, you should proceed as follows: 
&amp; register in the Register of Entities at DNSC (using as a method of transmitting information, as appropriate, on the PlatformaNIS2[.]ro platform, by email evidenta@dnsc[.]ro, at the DNSC headquarters at 22 Italiană Street, Sector 2, Bucharest, CP 020967
&amp; applying the procedure and methods specified in the Requirements for the notification process for registration and the method of transmitting information, approved by DNSC Director Order No. 1/2020
&amp; entities must open an account on PlatformaNIS2.ro and fill in all the data required for registration in the Register of Entities, regardless of the method of submitting the notification;
&amp; take measures to manage cybersecurity risks;
&amp; report significant incidents to the competent national authority on the PNRISC platform (pnrisc.dnsc[.]ro/);
&amp; cooperate with the competent authorities (at national and sectoral level).</t>
  </si>
  <si>
    <t>More information on NIS2 (namely Government Emergency Ordinance (OUG) No. 155/2024—approved, with amendments and additions, by Law No. 124/2025—subsequent acts, guides, guidelines, etc.) is available on the DNSC websites (dnsc[.]ro; platformanis2[.]ro).</t>
  </si>
  <si>
    <t>2nd Scenario. The entity does not fall within the scope of Government Emergency Ordinance (OUG) No. 155/2024 (approved, with amendments and additions, by Law No. 124/2025).</t>
  </si>
  <si>
    <t>In this case, the DNSC recommends that you register voluntarily if you are part of important sectors (local public administration, education, etc.) other than those provided for in OUG No. 155/2024 or if you expect that in the coming period you will exceed the thresholds according to which classification for the purposes of the law is made. 
If you are a supplier or service provider for a NIS2 entity, it may require you to implement (additional) security measures as part of its supply chain security obligations.</t>
  </si>
  <si>
    <t>NIS2@RO Tool
DATA AND INFORMATION ABOUT THE ENTITY</t>
  </si>
  <si>
    <t>Enter the requested data and information.
It is mandatory to enter all the requested data and information to ensure the assessment process for compliance with the scope of OUG No. 155/2024 (approved, with amendments and additions, by Law No. 124/2025) and to generate the notification form.</t>
  </si>
  <si>
    <t>Mandatory fields</t>
  </si>
  <si>
    <t>Fill in as appropriate</t>
  </si>
  <si>
    <t>GENERAL INFORMATION</t>
  </si>
  <si>
    <t>Name of the entity</t>
  </si>
  <si>
    <t>Unique Identification Code  (CUI)</t>
  </si>
  <si>
    <r>
      <t xml:space="preserve">Generate the Notification Form!
</t>
    </r>
    <r>
      <rPr>
        <sz val="10"/>
        <color theme="1"/>
        <rFont val="Trebuchet MS"/>
        <family val="2"/>
      </rPr>
      <t>After completing the assessment of the scope of application, generate the “Notification Form” from the “Entity Assessment” sheet, save it in PDF format, and then sign it.</t>
    </r>
  </si>
  <si>
    <t>National registration number</t>
  </si>
  <si>
    <t>Entity contact details</t>
  </si>
  <si>
    <t>Country</t>
  </si>
  <si>
    <t>County</t>
  </si>
  <si>
    <t>District</t>
  </si>
  <si>
    <t>Street</t>
  </si>
  <si>
    <t>Number</t>
  </si>
  <si>
    <t>Block/building, other</t>
  </si>
  <si>
    <t>Floor</t>
  </si>
  <si>
    <t>Postal code</t>
  </si>
  <si>
    <t>Email address</t>
  </si>
  <si>
    <t>Website URL</t>
  </si>
  <si>
    <t>Telephone number</t>
  </si>
  <si>
    <t>Mobile phone number</t>
  </si>
  <si>
    <t>Data regarding the activity carried out by the entity</t>
  </si>
  <si>
    <t>Main NACE code</t>
  </si>
  <si>
    <t>SPECIFIC DATA</t>
  </si>
  <si>
    <t>Informations regarding the person responsible for cybersecurity</t>
  </si>
  <si>
    <t>Select</t>
  </si>
  <si>
    <t>Is there a designated person responsible for cybersecurity at the time of filling out this form?</t>
  </si>
  <si>
    <t>Name</t>
  </si>
  <si>
    <t xml:space="preserve">Surname </t>
  </si>
  <si>
    <t>First name</t>
  </si>
  <si>
    <t>Role</t>
  </si>
  <si>
    <t>Details regarding permanent means of contact and the person responsible for monitoring them</t>
  </si>
  <si>
    <t>The person responsible for monitoring</t>
  </si>
  <si>
    <t>Yes</t>
  </si>
  <si>
    <t>No</t>
  </si>
  <si>
    <t>Permanent means of contact</t>
  </si>
  <si>
    <t>Email</t>
  </si>
  <si>
    <t>Data concerning computer networks and systems</t>
  </si>
  <si>
    <t>Public IP address ranges</t>
  </si>
  <si>
    <t>Data concerning the presence in the EU</t>
  </si>
  <si>
    <t>Provision of services within the EU</t>
  </si>
  <si>
    <t>Member States in which the entity provides services</t>
  </si>
  <si>
    <t>Addresses of registered office/branch offices in the EU</t>
  </si>
  <si>
    <t>Entity established outside the EU</t>
  </si>
  <si>
    <t>There is no need to apply for this subsection.</t>
  </si>
  <si>
    <t>Registered office address</t>
  </si>
  <si>
    <t>Phone number</t>
  </si>
  <si>
    <t>The natural person designated as representative in Romania or the representative of the legal entity</t>
  </si>
  <si>
    <t>Home address and/or residence, as applicable</t>
  </si>
  <si>
    <t xml:space="preserve"> ATTACHED DOCUMENTS</t>
  </si>
  <si>
    <t>Are there any attached documents?</t>
  </si>
  <si>
    <t>Number of attached documents</t>
  </si>
  <si>
    <t>Attached documents certifying the company's classification according to the size criterion:</t>
  </si>
  <si>
    <t>Self-assessment of the applicability of Article 9 of OUG No. 155/2024, as appropriate</t>
  </si>
  <si>
    <t>Other attached documents requested by DNSC</t>
  </si>
  <si>
    <t>Size of the entity</t>
  </si>
  <si>
    <t>ENTITY REPRESENTATION</t>
  </si>
  <si>
    <t>ONLY after filling in all the required data and information, click on the link to  ENTITY ASSESSMENT  
…</t>
  </si>
  <si>
    <t>Entity assessment</t>
  </si>
  <si>
    <t>More information about OUG No. 155/2024 (NIS2) can be found here</t>
  </si>
  <si>
    <t>ENTITY SIZE</t>
  </si>
  <si>
    <t>(i) Additional information</t>
  </si>
  <si>
    <t>Please enter the data regarding the size of the entity and the size category to which your entity belongs.</t>
  </si>
  <si>
    <t>Link to Law No. 346 of July 14, 2004, on stimulating the establishment and development of small and medium-sized enterprises.</t>
  </si>
  <si>
    <t>Link to the European Commission's "User Guide on the Definition of SMEs."</t>
  </si>
  <si>
    <t>Link to the European Commission's SME self-assessment tool.</t>
  </si>
  <si>
    <t>Average annual number of employees:</t>
  </si>
  <si>
    <t>Annual turnover (EUR):</t>
  </si>
  <si>
    <t>Balance Sheet (EUR):</t>
  </si>
  <si>
    <t>Size of the entity according to Law No. 346/2004 (except for Central Public Administration)</t>
  </si>
  <si>
    <t>In order to calculate the data to be taken into account for setting thresholds, an entity must first determine whether it is:
a) an autonomous enterprise;
b) a partner enterprise;
c) a related enterprise.
Please note: Art. 4 ind. 5 of Law No. 346/2004 does not apply.</t>
  </si>
  <si>
    <t>Small and micro</t>
  </si>
  <si>
    <t>Medium</t>
  </si>
  <si>
    <t>Large</t>
  </si>
  <si>
    <t>Please fill in all 3 criteria that determine the size of the entity and select the size that corresponds to your entity.</t>
  </si>
  <si>
    <t xml:space="preserve">DATA ON SERVICES PROVIDED (BY SECTOR/SUBSECTOR) </t>
  </si>
  <si>
    <t>Please select all services provided (by sector/sub-sector) from those listed below that correspond to the service provided by the entity.</t>
  </si>
  <si>
    <t>Out of scope</t>
  </si>
  <si>
    <t>Important entity</t>
  </si>
  <si>
    <t>Essential entity</t>
  </si>
  <si>
    <t>The data entered is insufficient to generate a preliminary assessment.</t>
  </si>
  <si>
    <t xml:space="preserve">SECTORS OF HIGH CRITICALITY </t>
  </si>
  <si>
    <t>ENERGY</t>
  </si>
  <si>
    <t>Electricity</t>
  </si>
  <si>
    <t>Electricity undertakings</t>
  </si>
  <si>
    <t>Distribution system operators</t>
  </si>
  <si>
    <t>Transmission system operators</t>
  </si>
  <si>
    <t>Electricity producers</t>
  </si>
  <si>
    <t>Nominated electricity market operators</t>
  </si>
  <si>
    <t>Electricity market participants</t>
  </si>
  <si>
    <t>Operators of a recharging point</t>
  </si>
  <si>
    <t>Economic operators, concessionaires and the developer of the offshore wind turbine</t>
  </si>
  <si>
    <t>District heating and cooling</t>
  </si>
  <si>
    <t>Operators of district heating or district cooling</t>
  </si>
  <si>
    <t>Oil</t>
  </si>
  <si>
    <t>Operators of oil transmission pipelines</t>
  </si>
  <si>
    <t>Operators of oil production, refining and treatment facilities, storage and transmission</t>
  </si>
  <si>
    <t>Central stockholding entities</t>
  </si>
  <si>
    <t>Gas</t>
  </si>
  <si>
    <t>Storage system operators</t>
  </si>
  <si>
    <t>LNG system operators</t>
  </si>
  <si>
    <t>Natural gas undertakings</t>
  </si>
  <si>
    <t>Natural gas supply undertakings</t>
  </si>
  <si>
    <t>Operators of natural gas refining and treatment facilities</t>
  </si>
  <si>
    <t>Hydrogen</t>
  </si>
  <si>
    <t>Operators of hydrogen production, storage and transmission</t>
  </si>
  <si>
    <t>Beneficiaries of projects financed from non-reimbursable funds</t>
  </si>
  <si>
    <t>Beneficiaries set out in Government Emergency Ordinance No. 60/2022 - Modernization Fund</t>
  </si>
  <si>
    <t>Air</t>
  </si>
  <si>
    <t>Air carriers</t>
  </si>
  <si>
    <t>Airport managing bodies  including the core airports and entities operating ancillary installations contained within air ports</t>
  </si>
  <si>
    <t xml:space="preserve">Traffic management control operators providing air traffic control (ATC) services </t>
  </si>
  <si>
    <t>Aircraft maintenance operators</t>
  </si>
  <si>
    <t>Civil aviation agents</t>
  </si>
  <si>
    <t>Organizations referred to in Article 2(1) of Delegated Regulation (EU) 2022/1645</t>
  </si>
  <si>
    <t>Organizations referred to in Article 2(1) of Implementing Regulation (EU) 2023/203</t>
  </si>
  <si>
    <t>Rail</t>
  </si>
  <si>
    <t xml:space="preserve">Infrastructure managers </t>
  </si>
  <si>
    <t>Railway undertakings</t>
  </si>
  <si>
    <t>Water</t>
  </si>
  <si>
    <t>Inland, sea and coastal passenger and freight water transport companies</t>
  </si>
  <si>
    <t>Managing bodies of ports and entities operating works and equipment contained within ports</t>
  </si>
  <si>
    <t>Operators of vessel traffic services (VTS)</t>
  </si>
  <si>
    <t>Road</t>
  </si>
  <si>
    <t>Road authorities</t>
  </si>
  <si>
    <t>Operators of Intelligent Transport Systems</t>
  </si>
  <si>
    <t>BANKING</t>
  </si>
  <si>
    <t>Credit institutions</t>
  </si>
  <si>
    <t>FINANCIAL MARKET INFRASTRUCTURES</t>
  </si>
  <si>
    <t>Operators of trading venues</t>
  </si>
  <si>
    <t>Central counterparties (CCPs)</t>
  </si>
  <si>
    <t>Institutions that ensure the execution of operations involving the collection and payment of public funds</t>
  </si>
  <si>
    <t>HEALTH</t>
  </si>
  <si>
    <t>Healthcare providers</t>
  </si>
  <si>
    <t>EU reference laboratories</t>
  </si>
  <si>
    <t xml:space="preserve">Entities carrying out research and development activities of medicinal products </t>
  </si>
  <si>
    <t>Entities manufacturing basic pharmaceutical products and pharmaceutical preparations</t>
  </si>
  <si>
    <t>Entities manufacturing medical devices considered to be critical during a public health emergency</t>
  </si>
  <si>
    <t>Entities authorized to distribute medicinal products</t>
  </si>
  <si>
    <t>Enterprises carrying out any of the economic activities listed in NACE 4646 and 4773 (Rev3)</t>
  </si>
  <si>
    <t>DRINKING WATER</t>
  </si>
  <si>
    <t>Drinking water</t>
  </si>
  <si>
    <t>WASTE WATER</t>
  </si>
  <si>
    <t>Undertakings collecting, disposing of or treating urban waste water, domestic waste water or industrial waste water</t>
  </si>
  <si>
    <t>DIGITAL INFRASTRUCTURE</t>
  </si>
  <si>
    <t>Internet Exchange Point providers (IXP)</t>
  </si>
  <si>
    <t>Internet Exchange Point providers</t>
  </si>
  <si>
    <t>TLD name registries</t>
  </si>
  <si>
    <t>Cloud computing service providers</t>
  </si>
  <si>
    <t>Data centre service providers</t>
  </si>
  <si>
    <t>Content delivery network providers</t>
  </si>
  <si>
    <t>Trust service providers</t>
  </si>
  <si>
    <t>Qualified trusted service providers</t>
  </si>
  <si>
    <t>Providers of public electronic communications networks</t>
  </si>
  <si>
    <t>Providers of publicly available electronic communications services</t>
  </si>
  <si>
    <t>ICT SERVICE MANAGEMENT (business-to-business)</t>
  </si>
  <si>
    <t>Managed service providers</t>
  </si>
  <si>
    <t>Managed security service providers</t>
  </si>
  <si>
    <t>PUBLIC ADMINISTRATION</t>
  </si>
  <si>
    <t>Public administration entities of central governments</t>
  </si>
  <si>
    <t>SPACE</t>
  </si>
  <si>
    <t>Operators of ground-based infrastructure, owned, managed and operated by Member States or by private parties, that support the provision of space-based services</t>
  </si>
  <si>
    <t>OTHER CRITICAL SECTORS</t>
  </si>
  <si>
    <t>POSTAL AND COURIER SERVICES</t>
  </si>
  <si>
    <t>Postal service providers including providers of courier services</t>
  </si>
  <si>
    <t>WASTE MANAGEMENT</t>
  </si>
  <si>
    <t>Undertakings carrying out waste management</t>
  </si>
  <si>
    <t>MANUFACTURE, PRODUCTION AND DISTRIBUTION OF CHEMICALS</t>
  </si>
  <si>
    <t>Undertakings carrying out the manufacture of substances and the distribution of substances or mixtures and undertakings carrying out the production of articles from substances or mixtures</t>
  </si>
  <si>
    <t>PRODUCTION, PROCESSING AND DISTRIBUTION OF FOOD</t>
  </si>
  <si>
    <t>Food businesses</t>
  </si>
  <si>
    <t>MANUFACTURING</t>
  </si>
  <si>
    <t>Manufacture of medical devices and in vitro diagnostic medical devices</t>
  </si>
  <si>
    <t>Entities manufacturing medical devices and entities manufacturing in vitro diagnostic medical devices</t>
  </si>
  <si>
    <t>Manufacture of computer, electronic and optical products</t>
  </si>
  <si>
    <t>Undertakings carrying out any of the economic activities referred to in section C division 26 of NACE Rev. 2</t>
  </si>
  <si>
    <t>Manufacture of electrical equipment</t>
  </si>
  <si>
    <t>Undertakings carrying out any of the economic activities referred to in section C division 27 of NACE Rev. 2</t>
  </si>
  <si>
    <t>Manufacture of machinery and equip ment n.e.c.</t>
  </si>
  <si>
    <t>Undertakings carrying out any of the economic activities referred to in section C division 28 of NACE Rev. 2</t>
  </si>
  <si>
    <t>Manufacture of motor vehicles, trailers and semi-trailers</t>
  </si>
  <si>
    <t>Undertakings carrying out any of the economic activities referred to in section C division 29 of NACE Rev. 2</t>
  </si>
  <si>
    <t>Manufacture of other transport equipment</t>
  </si>
  <si>
    <t>Undertakings carrying out any of the economic activities referred to in section C division 30 of NACE Rev. 2</t>
  </si>
  <si>
    <t>DIGITAL PROVIDERS</t>
  </si>
  <si>
    <t>Providers of online marketplaces</t>
  </si>
  <si>
    <t>Providers of online search engines</t>
  </si>
  <si>
    <t>Providers of social networking services platforms</t>
  </si>
  <si>
    <t>RESEARCH</t>
  </si>
  <si>
    <t>Research organisations</t>
  </si>
  <si>
    <t>The person responsible for monitoring is the same as the person responsible for cybersecurity</t>
  </si>
  <si>
    <t>Public transportation</t>
  </si>
  <si>
    <t>Public transport service operators</t>
  </si>
  <si>
    <t>None of the services listed in OUG No. 155/2024</t>
  </si>
  <si>
    <t>Overview of services provided:</t>
  </si>
  <si>
    <t>RELATIONSHIP OF THE ENTITY WITH ROMANIA</t>
  </si>
  <si>
    <t>HIGH</t>
  </si>
  <si>
    <t>MEDIUM</t>
  </si>
  <si>
    <t>LOW</t>
  </si>
  <si>
    <t>Fields marked in red are required to generate the preliminary assessment (based on the selection in the SERVICES PROVIDED section).</t>
  </si>
  <si>
    <t>Please select an answer for the questions marked below before continuing with the assessment.</t>
  </si>
  <si>
    <t>Is the entity established in Romania?</t>
  </si>
  <si>
    <t>Is the entity has its main office in Romania?</t>
  </si>
  <si>
    <t>Is your entity a public administration entity established by Romania?</t>
  </si>
  <si>
    <t>Is/was the entity identified as a critical entity in Romania (in accordance with the provisions of Law No. 294/2024)?</t>
  </si>
  <si>
    <t>SITUATION REGARDING THE PROVISION OF SERVICES IN THE EU</t>
  </si>
  <si>
    <t>Please select whether the entity provides the services listed in the section DATA ON SERVICES PROVIDED (BY SECTOR/SUBSECTOR) in Romania and/or in another EU Member State.</t>
  </si>
  <si>
    <t>Do you provide services in Romania?</t>
  </si>
  <si>
    <t>Do you provide services in another EU Member State?</t>
  </si>
  <si>
    <t>Please answer all 4 questions - set out in Article 9 of Government Emergency Ordinance No. 155/2024 - for the proper application of the assessment. 
Note. For questions 9b and 9c, the criteria and thresholds for determining the degree of disruption of a service shall be observed [Article 65(1)(a) of OUG No. 155/2024].</t>
  </si>
  <si>
    <t>9a. The entity is the sole provider of a service that is essential to supporting critical societal and economic activities.</t>
  </si>
  <si>
    <t>9b. Disruption of the service provided by the entity could have a significant impact on public safety, public security, or public health.</t>
  </si>
  <si>
    <t>9c. Disruption to the service provided by the entity could generate significant systemic risk, particularly for sectors where such disruption could have a cross-border impact.</t>
  </si>
  <si>
    <t>9d. The entity is critical due to its specific importance at national or regional level for the sector or type of services concerned or for other interdependent sectors.</t>
  </si>
  <si>
    <t>Based on the information and data entered, in accordance with Government Emergency Ordinance No. 155/2024 (approved, with amendments and additions, by Law No. 124/2025), the entity is:</t>
  </si>
  <si>
    <t>The preliminary assessment is based on the information entered. For this reason, you are required to use real and accurate data and information. The obligation to strictly comply with the self-identification process - established by OUG No. 155/2024 - is entirely and exclusively yours.</t>
  </si>
  <si>
    <t>GENERATE NOTIFICATION FORM</t>
  </si>
  <si>
    <t>Notification form</t>
  </si>
  <si>
    <t>GUIDELINES</t>
  </si>
  <si>
    <t>If, based on the information you have entered, the entity is included in the scope of OUG No. 155/2024 (approved, with amendments and additions, by Law No. 124/2025) and classified as an essential entity or important entity, you must:
* register at DNSC in the Register of Entities (using, as a method of transmitting information, as appropriate, PlatformaNIS2[.]ro, by email evidenta@dnsc[.]ro, at the DNSC headquarters at 22 Italiană Street, Sector 2, Bucharest, CP 020967); if you use the last two methods, you must register - as a mandatory requirement - on the PlatformaNIS2 platform (as soon as it becomes available); 
* take measures to assess and manage cybersecurity risks by applying the Cybersecurity Fundamentals Framework(levels: BASIC, IMPORTANT, and ESSENTIAL), depending on the entity's risk assessment 
* report significant incidents to the competent authority at national level (through PNRISC);
* cooperate with the competent authorities.
More information on the content of NIS2 legislation is available on the DNSC website (dnsc[.]ro and PlatformaNIS2[.]ro).</t>
  </si>
  <si>
    <t>If, based on the information you have entered, the preliminary assessment indicates that the entity does not fall within the scope of OUG No. 155/2024 (approved, with amendments and additions, by Law No. 124/2025), submit the form to DNSC for confirmation of the entity's status. If the DNSC confirms that the entity is excluded from the scope of OUG No. 155/2024 (approved, with amendments and additions, by Law No. 124/2025), we advise you to register, voluntarily if you are part of important sectors (local public administration, education, etc.) other than those provided for in OUG No. 155/2024 or if you expect that in the coming period you will exceed the thresholds according to which you are included for the purposes of the law. 
If you are a supplier or service provider for a NIS2 entity, it may require you to implement (additional) security measures as part of its supply chain security obligations.</t>
  </si>
  <si>
    <t>NOTIFICATION FORM</t>
  </si>
  <si>
    <t>Entity identification data</t>
  </si>
  <si>
    <t>Bucharest</t>
  </si>
  <si>
    <t>District 1</t>
  </si>
  <si>
    <t>District 2</t>
  </si>
  <si>
    <t>District 3</t>
  </si>
  <si>
    <t>District 4</t>
  </si>
  <si>
    <t>District 5</t>
  </si>
  <si>
    <t>District 6</t>
  </si>
  <si>
    <t>Entity size data</t>
  </si>
  <si>
    <t>Data on services provided</t>
  </si>
  <si>
    <t>Service-related sectors</t>
  </si>
  <si>
    <t>Sub-sectors (if applicable)</t>
  </si>
  <si>
    <t>Services provided (types of entities)</t>
  </si>
  <si>
    <t>Details of permanent means of contact and the person responsible for monitoring them</t>
  </si>
  <si>
    <t>SPECIAL CIRCUMSTANCES</t>
  </si>
  <si>
    <t>Applying Art. 9 in accordance with Art. 10 para. (2) of OUG no. 155/2024</t>
  </si>
  <si>
    <t>Signature:</t>
  </si>
  <si>
    <t>Energy</t>
  </si>
  <si>
    <t>Banking</t>
  </si>
  <si>
    <t>Financial market infrstructures</t>
  </si>
  <si>
    <t>Health</t>
  </si>
  <si>
    <t>Waste water</t>
  </si>
  <si>
    <t>Digital Infrstructure</t>
  </si>
  <si>
    <t>ICT service management (business-tobusiness)</t>
  </si>
  <si>
    <t>Public administration</t>
  </si>
  <si>
    <t>Space</t>
  </si>
  <si>
    <t>Postal and courier services</t>
  </si>
  <si>
    <t>Waste management</t>
  </si>
  <si>
    <t>Manufacture, production and distribution ofchemicals</t>
  </si>
  <si>
    <t>Production, processing and distribution of food</t>
  </si>
  <si>
    <t>Manufacturing</t>
  </si>
  <si>
    <t>Manufacture of machinery and equipment n.e.c.</t>
  </si>
  <si>
    <t>Digital providers</t>
  </si>
  <si>
    <t>Research</t>
  </si>
  <si>
    <t xml:space="preserve">APPLYING ART. 9 IN ACCORDANCE WITH ART. 10 PAR. (2) OF OUG NO. 155/2024 </t>
  </si>
  <si>
    <t>Lipsă dimensiune</t>
  </si>
  <si>
    <t>NOTIFICATION FORM GENERATOR AND PRELIMINARY ASSESSMENT TOOL
(NIS2@RO Tool)
User guide</t>
  </si>
  <si>
    <t>for preliminary assessment and notification form generator</t>
  </si>
  <si>
    <t>Note: For more details on how these thresholds are calculated, check out Law No. 346 of July 14, 2004, on encouraging the establishment and development of small and medium-sized enterprises.</t>
  </si>
  <si>
    <t>Fill in the section Data on services provided (by sector/subsector).</t>
  </si>
  <si>
    <t>City/Town</t>
  </si>
  <si>
    <t>Entrance/staircase/section, other</t>
  </si>
  <si>
    <t>Apartment/office/room, other</t>
  </si>
  <si>
    <t>Last name</t>
  </si>
  <si>
    <t xml:space="preserve">Last name </t>
  </si>
  <si>
    <t>PRELIMINARY ASSESSMENT AND NOTIFICATION FORM GENERATOR
(NIS2@RO Tool)</t>
  </si>
  <si>
    <t>The value corresponding to turnover and total assets is expressed in euro currency. In the notification process, you will attach the documents specified in Article 7 of Law No. 346/2004 to the notification form.
The size applicable to the entity is selected exclusively in accordance with the provisions of Law No. 346 of July 14, 2004, on stimulating the establishment and development of small and medium-sized enterprises, as amended and complemented (link below).</t>
  </si>
  <si>
    <t>Public administration entities of central government</t>
  </si>
  <si>
    <t>Secondary NACE code/s</t>
  </si>
  <si>
    <t>The data you entered indicates that you have the following size:</t>
  </si>
  <si>
    <r>
      <t xml:space="preserve">The following questions are intended to help entities determine whether the provisions of  OUG No. 155/2024 (approved, with amendments and additions, by Law No. 124/2025) apply to them.
Depending on the size, services provided and, where applicable, the criteria set out in Article 9 of OUG No. 155/2024 (approved, with amendments and additions, by Law No. 124/2025), an assessment is made as to whether OUG No. 155/2024 applies to the entity and, where applicable, whether it is an essential or important entity, in which case it is required to notify the DNSC for registration in the Register of Entities. The notification form is generated upon completion of the assessment.
</t>
    </r>
    <r>
      <rPr>
        <sz val="11"/>
        <color rgb="FFFF0000"/>
        <rFont val="Trebuchet MS"/>
        <family val="2"/>
      </rPr>
      <t>Please note! The NIS2@RO tool only generates a PRELIMINARY ASSESSMENT regarding the classification of entities as essential, important, or not subject to the provisions of OUG No. 155/2024 (approved, with amendments and additions, by Law No. 124/2025).</t>
    </r>
  </si>
  <si>
    <t>V2.1</t>
  </si>
  <si>
    <t>V2.1 ENG</t>
  </si>
  <si>
    <t>§3. Filling in specific data regarding the entity's relationship with Romania</t>
  </si>
  <si>
    <t>§4. Filling in data regarding the provision of services in the EU</t>
  </si>
  <si>
    <t>§5. Filling in the data regarding the applicability of Article 9 of OUG No. 155/2024 (approved, with amendments and additions, by Law No. 124/2025)</t>
  </si>
  <si>
    <t>Blocaj art.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</si>
</sst>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lei&quot;* #,##0.00_);_(&quot;lei&quot;* \(#,##0.00\);_(&quot;lei&quot;* &quot;-&quot;??_);_(@_)"/>
  </numFmts>
  <fonts count="91">
    <font>
      <sz val="11"/>
      <color theme="1"/>
      <name val="Calibri"/>
      <family val="2"/>
      <scheme val="minor"/>
    </font>
    <font>
      <sz val="11"/>
      <color theme="1"/>
      <name val="Times New Roman"/>
      <family val="2"/>
      <charset val="238"/>
    </font>
    <font>
      <sz val="11"/>
      <color theme="1"/>
      <name val="Calibri"/>
      <family val="2"/>
      <charset val="238"/>
      <scheme val="minor"/>
    </font>
    <font>
      <sz val="12"/>
      <color theme="1"/>
      <name val="Times New Roman"/>
      <family val="2"/>
      <charset val="238"/>
    </font>
    <font>
      <u/>
      <sz val="11"/>
      <color theme="10"/>
      <name val="Liberation Sans"/>
    </font>
    <font>
      <sz val="11"/>
      <color indexed="8"/>
      <name val="Calibri"/>
      <family val="2"/>
    </font>
    <font>
      <sz val="11"/>
      <color theme="1"/>
      <name val="Calibri"/>
      <family val="2"/>
      <charset val="238"/>
      <scheme val="minor"/>
    </font>
    <font>
      <sz val="12"/>
      <color theme="1"/>
      <name val="Times New Roman"/>
      <family val="2"/>
      <charset val="238"/>
    </font>
    <font>
      <u/>
      <sz val="12"/>
      <color theme="10"/>
      <name val="Times New Roman"/>
      <family val="2"/>
      <charset val="238"/>
    </font>
    <font>
      <u/>
      <sz val="11"/>
      <color theme="10"/>
      <name val="Calibri"/>
      <family val="2"/>
      <scheme val="minor"/>
    </font>
    <font>
      <sz val="11"/>
      <color theme="1"/>
      <name val="Calibri"/>
      <family val="2"/>
      <scheme val="minor"/>
    </font>
    <font>
      <sz val="10"/>
      <color indexed="81"/>
      <name val="Times New Roman"/>
      <family val="1"/>
    </font>
    <font>
      <u/>
      <sz val="11"/>
      <color theme="10"/>
      <name val="Calibri"/>
      <family val="2"/>
      <charset val="238"/>
      <scheme val="minor"/>
    </font>
    <font>
      <sz val="9"/>
      <color indexed="81"/>
      <name val="Segoe UI"/>
      <family val="2"/>
    </font>
    <font>
      <b/>
      <sz val="12"/>
      <color theme="0"/>
      <name val="Aptos Narrow"/>
      <family val="2"/>
    </font>
    <font>
      <sz val="12"/>
      <color theme="1"/>
      <name val="Aptos Narrow"/>
      <family val="2"/>
    </font>
    <font>
      <b/>
      <sz val="9"/>
      <color indexed="81"/>
      <name val="Aptos Narrow"/>
      <family val="2"/>
    </font>
    <font>
      <sz val="9"/>
      <color indexed="81"/>
      <name val="Aptos Narrow"/>
      <family val="2"/>
    </font>
    <font>
      <sz val="10"/>
      <color indexed="8"/>
      <name val="Arial"/>
      <family val="2"/>
    </font>
    <font>
      <b/>
      <sz val="9"/>
      <color indexed="81"/>
      <name val="Segoe UI"/>
      <family val="2"/>
    </font>
    <font>
      <i/>
      <sz val="9"/>
      <color indexed="81"/>
      <name val="Aptos Narrow"/>
      <family val="2"/>
    </font>
    <font>
      <sz val="8"/>
      <name val="Calibri"/>
      <family val="2"/>
      <scheme val="minor"/>
    </font>
    <font>
      <b/>
      <sz val="24"/>
      <color theme="1"/>
      <name val="Trebuchet MS"/>
      <family val="2"/>
    </font>
    <font>
      <sz val="16"/>
      <color theme="1"/>
      <name val="Trebuchet MS"/>
      <family val="2"/>
    </font>
    <font>
      <sz val="11"/>
      <color theme="1"/>
      <name val="Trebuchet MS"/>
      <family val="2"/>
    </font>
    <font>
      <b/>
      <sz val="11"/>
      <color theme="1"/>
      <name val="Trebuchet MS"/>
      <family val="2"/>
    </font>
    <font>
      <i/>
      <sz val="11"/>
      <color theme="1"/>
      <name val="Trebuchet MS"/>
      <family val="2"/>
    </font>
    <font>
      <sz val="12"/>
      <color theme="1"/>
      <name val="Trebuchet MS"/>
      <family val="2"/>
    </font>
    <font>
      <b/>
      <sz val="16"/>
      <color rgb="FFB13414"/>
      <name val="Trebuchet MS"/>
      <family val="2"/>
    </font>
    <font>
      <b/>
      <i/>
      <sz val="11"/>
      <color theme="1"/>
      <name val="Trebuchet MS"/>
      <family val="2"/>
    </font>
    <font>
      <sz val="11"/>
      <color rgb="FF0070C0"/>
      <name val="Trebuchet MS"/>
      <family val="2"/>
    </font>
    <font>
      <sz val="12"/>
      <name val="Trebuchet MS"/>
      <family val="2"/>
    </font>
    <font>
      <b/>
      <sz val="12"/>
      <name val="Trebuchet MS"/>
      <family val="2"/>
    </font>
    <font>
      <sz val="11"/>
      <name val="Trebuchet MS"/>
      <family val="2"/>
    </font>
    <font>
      <b/>
      <i/>
      <sz val="11"/>
      <name val="Trebuchet MS"/>
      <family val="2"/>
    </font>
    <font>
      <b/>
      <sz val="11"/>
      <color theme="8"/>
      <name val="Trebuchet MS"/>
      <family val="2"/>
    </font>
    <font>
      <i/>
      <sz val="11"/>
      <name val="Trebuchet MS"/>
      <family val="2"/>
    </font>
    <font>
      <b/>
      <sz val="14"/>
      <color theme="1"/>
      <name val="Trebuchet MS"/>
      <family val="2"/>
    </font>
    <font>
      <b/>
      <sz val="10"/>
      <color theme="1"/>
      <name val="Trebuchet MS"/>
      <family val="2"/>
    </font>
    <font>
      <sz val="10"/>
      <color rgb="FF000000"/>
      <name val="Trebuchet MS"/>
      <family val="2"/>
    </font>
    <font>
      <b/>
      <sz val="12"/>
      <color rgb="FF33FF00"/>
      <name val="Trebuchet MS"/>
      <family val="2"/>
    </font>
    <font>
      <b/>
      <sz val="12"/>
      <color theme="1"/>
      <name val="Trebuchet MS"/>
      <family val="2"/>
    </font>
    <font>
      <sz val="10"/>
      <color theme="1"/>
      <name val="Trebuchet MS"/>
      <family val="2"/>
    </font>
    <font>
      <u/>
      <sz val="11"/>
      <color theme="10"/>
      <name val="Trebuchet MS"/>
      <family val="2"/>
    </font>
    <font>
      <b/>
      <sz val="9"/>
      <color theme="1"/>
      <name val="Trebuchet MS"/>
      <family val="2"/>
    </font>
    <font>
      <b/>
      <i/>
      <sz val="12"/>
      <color rgb="FF0070C0"/>
      <name val="Trebuchet MS"/>
      <family val="2"/>
    </font>
    <font>
      <b/>
      <sz val="18"/>
      <color theme="9" tint="-0.499984740745262"/>
      <name val="Trebuchet MS"/>
      <family val="2"/>
    </font>
    <font>
      <i/>
      <sz val="10"/>
      <color theme="1"/>
      <name val="Trebuchet MS"/>
      <family val="2"/>
    </font>
    <font>
      <b/>
      <sz val="11"/>
      <name val="Trebuchet MS"/>
      <family val="2"/>
    </font>
    <font>
      <sz val="9"/>
      <color theme="1"/>
      <name val="Trebuchet MS"/>
      <family val="2"/>
    </font>
    <font>
      <b/>
      <i/>
      <sz val="10"/>
      <color theme="1"/>
      <name val="Trebuchet MS"/>
      <family val="2"/>
    </font>
    <font>
      <u/>
      <sz val="12"/>
      <color theme="10"/>
      <name val="Trebuchet MS"/>
      <family val="2"/>
    </font>
    <font>
      <sz val="11"/>
      <color theme="0"/>
      <name val="Trebuchet MS"/>
      <family val="2"/>
    </font>
    <font>
      <b/>
      <i/>
      <sz val="10"/>
      <color rgb="FF0070C0"/>
      <name val="Trebuchet MS"/>
      <family val="2"/>
    </font>
    <font>
      <i/>
      <u/>
      <sz val="10"/>
      <color theme="10"/>
      <name val="Trebuchet MS"/>
      <family val="2"/>
    </font>
    <font>
      <b/>
      <sz val="14"/>
      <color theme="0"/>
      <name val="Trebuchet MS"/>
      <family val="2"/>
    </font>
    <font>
      <i/>
      <sz val="11"/>
      <color theme="0"/>
      <name val="Trebuchet MS"/>
      <family val="2"/>
    </font>
    <font>
      <b/>
      <sz val="16"/>
      <color theme="0"/>
      <name val="Trebuchet MS"/>
      <family val="2"/>
    </font>
    <font>
      <b/>
      <sz val="12"/>
      <color theme="0"/>
      <name val="Trebuchet MS"/>
      <family val="2"/>
    </font>
    <font>
      <sz val="14"/>
      <color theme="0"/>
      <name val="Trebuchet MS"/>
      <family val="2"/>
    </font>
    <font>
      <sz val="10"/>
      <name val="Trebuchet MS"/>
      <family val="2"/>
    </font>
    <font>
      <b/>
      <sz val="22"/>
      <color theme="1"/>
      <name val="Trebuchet MS"/>
      <family val="2"/>
    </font>
    <font>
      <sz val="11"/>
      <color theme="9" tint="0.79998168889431442"/>
      <name val="Trebuchet MS"/>
      <family val="2"/>
    </font>
    <font>
      <b/>
      <i/>
      <sz val="10"/>
      <name val="Trebuchet MS"/>
      <family val="2"/>
    </font>
    <font>
      <b/>
      <sz val="10"/>
      <name val="Trebuchet MS"/>
      <family val="2"/>
    </font>
    <font>
      <i/>
      <sz val="10"/>
      <name val="Trebuchet MS"/>
      <family val="2"/>
    </font>
    <font>
      <b/>
      <sz val="24"/>
      <name val="Trebuchet MS"/>
      <family val="2"/>
    </font>
    <font>
      <b/>
      <sz val="16"/>
      <name val="Trebuchet MS"/>
      <family val="2"/>
    </font>
    <font>
      <b/>
      <sz val="12"/>
      <color rgb="FF002060"/>
      <name val="Trebuchet MS"/>
      <family val="2"/>
    </font>
    <font>
      <b/>
      <sz val="12"/>
      <color rgb="FF0070C0"/>
      <name val="Trebuchet MS"/>
      <family val="2"/>
    </font>
    <font>
      <b/>
      <sz val="11"/>
      <color theme="0"/>
      <name val="Trebuchet MS"/>
      <family val="2"/>
    </font>
    <font>
      <b/>
      <sz val="10"/>
      <color theme="0"/>
      <name val="Trebuchet MS"/>
      <family val="2"/>
    </font>
    <font>
      <b/>
      <sz val="16"/>
      <color theme="1"/>
      <name val="Trebuchet MS"/>
      <family val="2"/>
    </font>
    <font>
      <sz val="12"/>
      <color theme="0"/>
      <name val="Trebuchet MS"/>
      <family val="2"/>
    </font>
    <font>
      <b/>
      <i/>
      <sz val="11"/>
      <color rgb="FF0070C0"/>
      <name val="Trebuchet MS"/>
      <family val="2"/>
    </font>
    <font>
      <sz val="9"/>
      <name val="Trebuchet MS"/>
      <family val="2"/>
    </font>
    <font>
      <b/>
      <sz val="9"/>
      <color theme="0"/>
      <name val="Trebuchet MS"/>
      <family val="2"/>
    </font>
    <font>
      <b/>
      <sz val="9"/>
      <name val="Trebuchet MS"/>
      <family val="2"/>
    </font>
    <font>
      <sz val="10"/>
      <color theme="0"/>
      <name val="Trebuchet MS"/>
      <family val="2"/>
    </font>
    <font>
      <b/>
      <sz val="6"/>
      <color theme="0"/>
      <name val="Trebuchet MS"/>
      <family val="2"/>
    </font>
    <font>
      <sz val="8"/>
      <name val="Trebuchet MS"/>
      <family val="2"/>
    </font>
    <font>
      <sz val="11"/>
      <color rgb="FF99CCFF"/>
      <name val="Trebuchet MS"/>
      <family val="2"/>
    </font>
    <font>
      <i/>
      <sz val="11"/>
      <color rgb="FF99CCFF"/>
      <name val="Trebuchet MS"/>
      <family val="2"/>
    </font>
    <font>
      <b/>
      <i/>
      <sz val="9"/>
      <color theme="1"/>
      <name val="Trebuchet MS"/>
      <family val="2"/>
    </font>
    <font>
      <b/>
      <i/>
      <sz val="9"/>
      <name val="Trebuchet MS"/>
      <family val="2"/>
    </font>
    <font>
      <u/>
      <sz val="11"/>
      <name val="Trebuchet MS"/>
      <family val="2"/>
    </font>
    <font>
      <b/>
      <i/>
      <sz val="11"/>
      <color rgb="FFC00000"/>
      <name val="Trebuchet MS"/>
      <family val="2"/>
    </font>
    <font>
      <sz val="11"/>
      <name val="Calibri"/>
      <family val="2"/>
      <scheme val="minor"/>
    </font>
    <font>
      <sz val="9"/>
      <color indexed="81"/>
      <name val="Tahoma"/>
      <family val="2"/>
    </font>
    <font>
      <b/>
      <sz val="11"/>
      <color rgb="FFFF0000"/>
      <name val="Trebuchet MS"/>
      <family val="2"/>
    </font>
    <font>
      <sz val="11"/>
      <color rgb="FFFF0000"/>
      <name val="Trebuchet MS"/>
      <family val="2"/>
    </font>
  </fonts>
  <fills count="31">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1" tint="0.499984740745262"/>
        <bgColor indexed="64"/>
      </patternFill>
    </fill>
    <fill>
      <patternFill patternType="solid">
        <fgColor rgb="FFEBF6DE"/>
        <bgColor indexed="64"/>
      </patternFill>
    </fill>
    <fill>
      <patternFill patternType="solid">
        <fgColor rgb="FF92CDDC"/>
        <bgColor indexed="64"/>
      </patternFill>
    </fill>
    <fill>
      <patternFill patternType="solid">
        <fgColor rgb="FFFABF8F"/>
        <bgColor indexed="64"/>
      </patternFill>
    </fill>
    <fill>
      <patternFill patternType="solid">
        <fgColor theme="2"/>
        <bgColor indexed="64"/>
      </patternFill>
    </fill>
    <fill>
      <patternFill patternType="solid">
        <fgColor rgb="FFC4D79B"/>
        <bgColor indexed="64"/>
      </patternFill>
    </fill>
    <fill>
      <patternFill patternType="solid">
        <fgColor rgb="FFD3EBF1"/>
        <bgColor indexed="64"/>
      </patternFill>
    </fill>
    <fill>
      <patternFill patternType="solid">
        <fgColor rgb="FF0070C0"/>
        <bgColor indexed="64"/>
      </patternFill>
    </fill>
    <fill>
      <patternFill patternType="solid">
        <fgColor rgb="FFDDF0FF"/>
        <bgColor indexed="64"/>
      </patternFill>
    </fill>
    <fill>
      <patternFill patternType="solid">
        <fgColor rgb="FFFBFDFF"/>
        <bgColor indexed="64"/>
      </patternFill>
    </fill>
    <fill>
      <patternFill patternType="solid">
        <fgColor rgb="FF002060"/>
        <bgColor indexed="64"/>
      </patternFill>
    </fill>
    <fill>
      <patternFill patternType="solid">
        <fgColor rgb="FF0066CC"/>
        <bgColor indexed="64"/>
      </patternFill>
    </fill>
    <fill>
      <patternFill patternType="solid">
        <fgColor rgb="FF99CCFF"/>
        <bgColor indexed="64"/>
      </patternFill>
    </fill>
    <fill>
      <patternFill patternType="solid">
        <fgColor rgb="FF3366FF"/>
        <bgColor indexed="64"/>
      </patternFill>
    </fill>
    <fill>
      <patternFill patternType="solid">
        <fgColor rgb="FFF3FCFF"/>
        <bgColor indexed="64"/>
      </patternFill>
    </fill>
    <fill>
      <patternFill patternType="solid">
        <fgColor rgb="FF0000FF"/>
        <bgColor indexed="64"/>
      </patternFill>
    </fill>
    <fill>
      <patternFill patternType="solid">
        <fgColor rgb="FFFADBD3"/>
        <bgColor indexed="64"/>
      </patternFill>
    </fill>
    <fill>
      <patternFill patternType="solid">
        <fgColor rgb="FFFFFF00"/>
        <bgColor indexed="64"/>
      </patternFill>
    </fill>
  </fills>
  <borders count="175">
    <border>
      <left/>
      <right/>
      <top/>
      <bottom/>
      <diagonal/>
    </border>
    <border>
      <left/>
      <right/>
      <top/>
      <bottom style="double">
        <color auto="1"/>
      </bottom>
      <diagonal/>
    </border>
    <border>
      <left style="thin">
        <color indexed="64"/>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thick">
        <color indexed="64"/>
      </bottom>
      <diagonal/>
    </border>
    <border>
      <left/>
      <right style="thin">
        <color indexed="64"/>
      </right>
      <top/>
      <bottom style="thick">
        <color indexed="64"/>
      </bottom>
      <diagonal/>
    </border>
    <border>
      <left style="hair">
        <color auto="1"/>
      </left>
      <right style="hair">
        <color auto="1"/>
      </right>
      <top style="thick">
        <color auto="1"/>
      </top>
      <bottom/>
      <diagonal/>
    </border>
    <border>
      <left style="thin">
        <color theme="0" tint="-0.24994659260841701"/>
      </left>
      <right style="thin">
        <color theme="0" tint="-0.24994659260841701"/>
      </right>
      <top style="double">
        <color auto="1"/>
      </top>
      <bottom style="hair">
        <color auto="1"/>
      </bottom>
      <diagonal/>
    </border>
    <border>
      <left style="thin">
        <color theme="0" tint="-0.24994659260841701"/>
      </left>
      <right style="thin">
        <color theme="0" tint="-0.24994659260841701"/>
      </right>
      <top style="hair">
        <color auto="1"/>
      </top>
      <bottom style="hair">
        <color auto="1"/>
      </bottom>
      <diagonal/>
    </border>
    <border>
      <left style="thin">
        <color theme="0" tint="-0.24994659260841701"/>
      </left>
      <right style="thin">
        <color theme="0" tint="-0.24994659260841701"/>
      </right>
      <top style="hair">
        <color auto="1"/>
      </top>
      <bottom style="thick">
        <color auto="1"/>
      </bottom>
      <diagonal/>
    </border>
    <border>
      <left style="thin">
        <color theme="1" tint="0.499984740745262"/>
      </left>
      <right style="thin">
        <color theme="0" tint="-0.24994659260841701"/>
      </right>
      <top style="double">
        <color auto="1"/>
      </top>
      <bottom style="hair">
        <color auto="1"/>
      </bottom>
      <diagonal/>
    </border>
    <border>
      <left style="thin">
        <color theme="0" tint="-0.24994659260841701"/>
      </left>
      <right style="thin">
        <color theme="1" tint="0.499984740745262"/>
      </right>
      <top style="double">
        <color auto="1"/>
      </top>
      <bottom style="hair">
        <color auto="1"/>
      </bottom>
      <diagonal/>
    </border>
    <border>
      <left style="thin">
        <color theme="1" tint="0.499984740745262"/>
      </left>
      <right style="thin">
        <color theme="0" tint="-0.24994659260841701"/>
      </right>
      <top style="hair">
        <color auto="1"/>
      </top>
      <bottom style="hair">
        <color auto="1"/>
      </bottom>
      <diagonal/>
    </border>
    <border>
      <left style="thin">
        <color theme="0" tint="-0.24994659260841701"/>
      </left>
      <right style="thin">
        <color theme="1" tint="0.499984740745262"/>
      </right>
      <top style="hair">
        <color auto="1"/>
      </top>
      <bottom style="hair">
        <color auto="1"/>
      </bottom>
      <diagonal/>
    </border>
    <border>
      <left style="thin">
        <color theme="1" tint="0.499984740745262"/>
      </left>
      <right style="thin">
        <color theme="0" tint="-0.24994659260841701"/>
      </right>
      <top style="hair">
        <color auto="1"/>
      </top>
      <bottom style="thick">
        <color auto="1"/>
      </bottom>
      <diagonal/>
    </border>
    <border>
      <left style="thin">
        <color theme="0" tint="-0.24994659260841701"/>
      </left>
      <right style="thin">
        <color theme="1" tint="0.499984740745262"/>
      </right>
      <top style="hair">
        <color auto="1"/>
      </top>
      <bottom style="thick">
        <color auto="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ck">
        <color indexed="64"/>
      </top>
      <bottom style="double">
        <color indexed="64"/>
      </bottom>
      <diagonal/>
    </border>
    <border>
      <left/>
      <right style="thin">
        <color indexed="64"/>
      </right>
      <top style="thick">
        <color indexed="64"/>
      </top>
      <bottom style="double">
        <color indexed="64"/>
      </bottom>
      <diagonal/>
    </border>
    <border>
      <left/>
      <right style="thin">
        <color indexed="64"/>
      </right>
      <top style="medium">
        <color indexed="64"/>
      </top>
      <bottom style="thin">
        <color indexed="64"/>
      </bottom>
      <diagonal/>
    </border>
    <border>
      <left style="thin">
        <color auto="1"/>
      </left>
      <right style="hair">
        <color auto="1"/>
      </right>
      <top style="thick">
        <color auto="1"/>
      </top>
      <bottom style="hair">
        <color auto="1"/>
      </bottom>
      <diagonal/>
    </border>
    <border>
      <left style="hair">
        <color auto="1"/>
      </left>
      <right style="thin">
        <color auto="1"/>
      </right>
      <top style="thick">
        <color auto="1"/>
      </top>
      <bottom style="hair">
        <color auto="1"/>
      </bottom>
      <diagonal/>
    </border>
    <border>
      <left style="thin">
        <color indexed="64"/>
      </left>
      <right style="hair">
        <color indexed="64"/>
      </right>
      <top style="hair">
        <color indexed="64"/>
      </top>
      <bottom style="thick">
        <color indexed="64"/>
      </bottom>
      <diagonal/>
    </border>
    <border>
      <left style="hair">
        <color indexed="64"/>
      </left>
      <right style="thin">
        <color indexed="64"/>
      </right>
      <top style="hair">
        <color indexed="64"/>
      </top>
      <bottom style="thick">
        <color indexed="64"/>
      </bottom>
      <diagonal/>
    </border>
    <border>
      <left style="thin">
        <color auto="1"/>
      </left>
      <right style="hair">
        <color auto="1"/>
      </right>
      <top style="thick">
        <color auto="1"/>
      </top>
      <bottom style="double">
        <color auto="1"/>
      </bottom>
      <diagonal/>
    </border>
    <border>
      <left style="hair">
        <color auto="1"/>
      </left>
      <right style="hair">
        <color auto="1"/>
      </right>
      <top style="thick">
        <color auto="1"/>
      </top>
      <bottom style="double">
        <color auto="1"/>
      </bottom>
      <diagonal/>
    </border>
    <border>
      <left style="hair">
        <color auto="1"/>
      </left>
      <right style="thin">
        <color auto="1"/>
      </right>
      <top style="thick">
        <color auto="1"/>
      </top>
      <bottom style="double">
        <color auto="1"/>
      </bottom>
      <diagonal/>
    </border>
    <border>
      <left style="hair">
        <color auto="1"/>
      </left>
      <right style="hair">
        <color auto="1"/>
      </right>
      <top style="hair">
        <color auto="1"/>
      </top>
      <bottom style="thick">
        <color auto="1"/>
      </bottom>
      <diagonal/>
    </border>
    <border>
      <left style="thin">
        <color auto="1"/>
      </left>
      <right style="hair">
        <color auto="1"/>
      </right>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thin">
        <color indexed="64"/>
      </left>
      <right style="hair">
        <color indexed="64"/>
      </right>
      <top style="thin">
        <color indexed="64"/>
      </top>
      <bottom style="thick">
        <color indexed="64"/>
      </bottom>
      <diagonal/>
    </border>
    <border>
      <left style="hair">
        <color indexed="64"/>
      </left>
      <right style="thin">
        <color indexed="64"/>
      </right>
      <top style="thin">
        <color indexed="64"/>
      </top>
      <bottom style="thick">
        <color indexed="64"/>
      </bottom>
      <diagonal/>
    </border>
    <border>
      <left style="slantDashDot">
        <color auto="1"/>
      </left>
      <right style="slantDashDot">
        <color auto="1"/>
      </right>
      <top style="slantDashDot">
        <color auto="1"/>
      </top>
      <bottom style="slantDashDot">
        <color auto="1"/>
      </bottom>
      <diagonal/>
    </border>
    <border>
      <left/>
      <right/>
      <top style="medium">
        <color indexed="64"/>
      </top>
      <bottom style="thin">
        <color indexed="64"/>
      </bottom>
      <diagonal/>
    </border>
    <border>
      <left/>
      <right/>
      <top style="thick">
        <color auto="1"/>
      </top>
      <bottom style="hair">
        <color auto="1"/>
      </bottom>
      <diagonal/>
    </border>
    <border>
      <left/>
      <right/>
      <top style="hair">
        <color indexed="64"/>
      </top>
      <bottom style="hair">
        <color indexed="64"/>
      </bottom>
      <diagonal/>
    </border>
    <border>
      <left/>
      <right/>
      <top style="hair">
        <color indexed="64"/>
      </top>
      <bottom style="thick">
        <color indexed="64"/>
      </bottom>
      <diagonal/>
    </border>
    <border>
      <left style="thin">
        <color auto="1"/>
      </left>
      <right style="hair">
        <color auto="1"/>
      </right>
      <top style="thick">
        <color auto="1"/>
      </top>
      <bottom/>
      <diagonal/>
    </border>
    <border>
      <left style="hair">
        <color auto="1"/>
      </left>
      <right style="thin">
        <color auto="1"/>
      </right>
      <top style="thick">
        <color auto="1"/>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thin">
        <color theme="2" tint="-0.24994659260841701"/>
      </right>
      <top/>
      <bottom style="thin">
        <color theme="2" tint="-0.24994659260841701"/>
      </bottom>
      <diagonal/>
    </border>
    <border>
      <left/>
      <right style="thin">
        <color theme="2" tint="-0.24994659260841701"/>
      </right>
      <top/>
      <bottom/>
      <diagonal/>
    </border>
    <border>
      <left/>
      <right/>
      <top/>
      <bottom style="thin">
        <color theme="2" tint="-0.24994659260841701"/>
      </bottom>
      <diagonal/>
    </border>
    <border>
      <left style="thin">
        <color auto="1"/>
      </left>
      <right/>
      <top style="thick">
        <color auto="1"/>
      </top>
      <bottom/>
      <diagonal/>
    </border>
    <border>
      <left/>
      <right style="hair">
        <color auto="1"/>
      </right>
      <top style="thick">
        <color auto="1"/>
      </top>
      <bottom style="double">
        <color auto="1"/>
      </bottom>
      <diagonal/>
    </border>
    <border>
      <left style="thin">
        <color auto="1"/>
      </left>
      <right style="double">
        <color auto="1"/>
      </right>
      <top style="thin">
        <color auto="1"/>
      </top>
      <bottom style="hair">
        <color auto="1"/>
      </bottom>
      <diagonal/>
    </border>
    <border>
      <left style="double">
        <color auto="1"/>
      </left>
      <right style="hair">
        <color auto="1"/>
      </right>
      <top style="double">
        <color auto="1"/>
      </top>
      <bottom style="hair">
        <color auto="1"/>
      </bottom>
      <diagonal/>
    </border>
    <border>
      <left style="thin">
        <color auto="1"/>
      </left>
      <right style="double">
        <color auto="1"/>
      </right>
      <top style="hair">
        <color auto="1"/>
      </top>
      <bottom style="thick">
        <color indexed="64"/>
      </bottom>
      <diagonal/>
    </border>
    <border>
      <left style="double">
        <color auto="1"/>
      </left>
      <right style="hair">
        <color auto="1"/>
      </right>
      <top style="hair">
        <color auto="1"/>
      </top>
      <bottom style="thick">
        <color indexed="64"/>
      </bottom>
      <diagonal/>
    </border>
    <border>
      <left style="hair">
        <color auto="1"/>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double">
        <color auto="1"/>
      </top>
      <bottom style="hair">
        <color auto="1"/>
      </bottom>
      <diagonal/>
    </border>
    <border>
      <left/>
      <right/>
      <top style="double">
        <color auto="1"/>
      </top>
      <bottom style="hair">
        <color auto="1"/>
      </bottom>
      <diagonal/>
    </border>
    <border>
      <left/>
      <right style="hair">
        <color auto="1"/>
      </right>
      <top style="double">
        <color auto="1"/>
      </top>
      <bottom style="hair">
        <color auto="1"/>
      </bottom>
      <diagonal/>
    </border>
    <border>
      <left style="hair">
        <color auto="1"/>
      </left>
      <right/>
      <top style="thick">
        <color auto="1"/>
      </top>
      <bottom style="double">
        <color auto="1"/>
      </bottom>
      <diagonal/>
    </border>
    <border>
      <left/>
      <right/>
      <top style="thick">
        <color auto="1"/>
      </top>
      <bottom style="double">
        <color auto="1"/>
      </bottom>
      <diagonal/>
    </border>
    <border>
      <left/>
      <right/>
      <top style="thick">
        <color auto="1"/>
      </top>
      <bottom/>
      <diagonal/>
    </border>
    <border>
      <left/>
      <right/>
      <top style="thin">
        <color theme="0" tint="-0.14996795556505021"/>
      </top>
      <bottom/>
      <diagonal/>
    </border>
    <border>
      <left/>
      <right/>
      <top/>
      <bottom style="thin">
        <color theme="0" tint="-0.1499679555650502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style="hair">
        <color auto="1"/>
      </right>
      <top style="medium">
        <color auto="1"/>
      </top>
      <bottom style="double">
        <color auto="1"/>
      </bottom>
      <diagonal/>
    </border>
    <border>
      <left style="thin">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thin">
        <color auto="1"/>
      </right>
      <top style="hair">
        <color auto="1"/>
      </top>
      <bottom style="medium">
        <color auto="1"/>
      </bottom>
      <diagonal/>
    </border>
    <border>
      <left style="thin">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auto="1"/>
      </left>
      <right style="hair">
        <color indexed="64"/>
      </right>
      <top/>
      <bottom style="double">
        <color auto="1"/>
      </bottom>
      <diagonal/>
    </border>
    <border>
      <left style="hair">
        <color auto="1"/>
      </left>
      <right style="hair">
        <color auto="1"/>
      </right>
      <top/>
      <bottom style="double">
        <color auto="1"/>
      </bottom>
      <diagonal/>
    </border>
    <border>
      <left style="hair">
        <color auto="1"/>
      </left>
      <right style="hair">
        <color auto="1"/>
      </right>
      <top style="hair">
        <color auto="1"/>
      </top>
      <bottom style="double">
        <color auto="1"/>
      </bottom>
      <diagonal/>
    </border>
    <border>
      <left style="hair">
        <color auto="1"/>
      </left>
      <right/>
      <top style="thick">
        <color auto="1"/>
      </top>
      <bottom style="hair">
        <color auto="1"/>
      </bottom>
      <diagonal/>
    </border>
    <border>
      <left/>
      <right style="hair">
        <color auto="1"/>
      </right>
      <top style="thick">
        <color auto="1"/>
      </top>
      <bottom style="hair">
        <color auto="1"/>
      </bottom>
      <diagonal/>
    </border>
    <border>
      <left style="hair">
        <color auto="1"/>
      </left>
      <right style="thin">
        <color indexed="64"/>
      </right>
      <top/>
      <bottom style="double">
        <color auto="1"/>
      </bottom>
      <diagonal/>
    </border>
    <border>
      <left style="thin">
        <color indexed="64"/>
      </left>
      <right/>
      <top/>
      <bottom style="double">
        <color indexed="64"/>
      </bottom>
      <diagonal/>
    </border>
    <border>
      <left/>
      <right style="thin">
        <color indexed="64"/>
      </right>
      <top/>
      <bottom style="double">
        <color indexed="64"/>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bottom style="thick">
        <color auto="1"/>
      </bottom>
      <diagonal/>
    </border>
    <border>
      <left style="thin">
        <color auto="1"/>
      </left>
      <right/>
      <top style="thin">
        <color auto="1"/>
      </top>
      <bottom style="hair">
        <color indexed="64"/>
      </bottom>
      <diagonal/>
    </border>
    <border>
      <left/>
      <right/>
      <top style="thin">
        <color auto="1"/>
      </top>
      <bottom/>
      <diagonal/>
    </border>
    <border>
      <left style="thin">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top/>
      <bottom style="hair">
        <color indexed="64"/>
      </bottom>
      <diagonal/>
    </border>
    <border>
      <left style="thin">
        <color indexed="64"/>
      </left>
      <right style="hair">
        <color indexed="64"/>
      </right>
      <top style="thick">
        <color indexed="64"/>
      </top>
      <bottom style="thin">
        <color auto="1"/>
      </bottom>
      <diagonal/>
    </border>
    <border>
      <left style="hair">
        <color indexed="64"/>
      </left>
      <right style="thin">
        <color indexed="64"/>
      </right>
      <top style="thick">
        <color indexed="64"/>
      </top>
      <bottom style="thin">
        <color auto="1"/>
      </bottom>
      <diagonal/>
    </border>
    <border>
      <left style="thin">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indexed="64"/>
      </right>
      <top/>
      <bottom style="hair">
        <color indexed="64"/>
      </bottom>
      <diagonal/>
    </border>
    <border>
      <left style="thin">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style="hair">
        <color auto="1"/>
      </left>
      <right style="thin">
        <color auto="1"/>
      </right>
      <top style="hair">
        <color auto="1"/>
      </top>
      <bottom/>
      <diagonal/>
    </border>
    <border>
      <left style="thin">
        <color indexed="64"/>
      </left>
      <right style="hair">
        <color indexed="64"/>
      </right>
      <top style="medium">
        <color indexed="64"/>
      </top>
      <bottom style="hair">
        <color indexed="64"/>
      </bottom>
      <diagonal/>
    </border>
    <border>
      <left style="hair">
        <color indexed="64"/>
      </left>
      <right style="thin">
        <color auto="1"/>
      </right>
      <top style="medium">
        <color indexed="64"/>
      </top>
      <bottom style="hair">
        <color indexed="64"/>
      </bottom>
      <diagonal/>
    </border>
    <border>
      <left style="thin">
        <color indexed="64"/>
      </left>
      <right style="hair">
        <color indexed="64"/>
      </right>
      <top style="thick">
        <color indexed="64"/>
      </top>
      <bottom style="medium">
        <color indexed="64"/>
      </bottom>
      <diagonal/>
    </border>
    <border>
      <left style="hair">
        <color indexed="64"/>
      </left>
      <right style="thin">
        <color indexed="64"/>
      </right>
      <top style="thick">
        <color indexed="64"/>
      </top>
      <bottom style="medium">
        <color indexed="64"/>
      </bottom>
      <diagonal/>
    </border>
    <border>
      <left style="thin">
        <color auto="1"/>
      </left>
      <right style="hair">
        <color auto="1"/>
      </right>
      <top style="medium">
        <color auto="1"/>
      </top>
      <bottom style="medium">
        <color auto="1"/>
      </bottom>
      <diagonal/>
    </border>
    <border>
      <left style="hair">
        <color auto="1"/>
      </left>
      <right style="thin">
        <color auto="1"/>
      </right>
      <top style="medium">
        <color auto="1"/>
      </top>
      <bottom style="medium">
        <color auto="1"/>
      </bottom>
      <diagonal/>
    </border>
    <border>
      <left style="hair">
        <color auto="1"/>
      </left>
      <right style="thin">
        <color auto="1"/>
      </right>
      <top/>
      <bottom style="thin">
        <color auto="1"/>
      </bottom>
      <diagonal/>
    </border>
    <border>
      <left style="hair">
        <color auto="1"/>
      </left>
      <right style="hair">
        <color auto="1"/>
      </right>
      <top/>
      <bottom style="hair">
        <color auto="1"/>
      </bottom>
      <diagonal/>
    </border>
    <border>
      <left style="hair">
        <color indexed="64"/>
      </left>
      <right style="thin">
        <color indexed="64"/>
      </right>
      <top style="medium">
        <color indexed="64"/>
      </top>
      <bottom/>
      <diagonal/>
    </border>
    <border>
      <left style="thin">
        <color auto="1"/>
      </left>
      <right style="hair">
        <color auto="1"/>
      </right>
      <top style="thin">
        <color auto="1"/>
      </top>
      <bottom style="double">
        <color auto="1"/>
      </bottom>
      <diagonal/>
    </border>
    <border>
      <left style="thin">
        <color rgb="FF000000"/>
      </left>
      <right style="hair">
        <color rgb="FF000000"/>
      </right>
      <top style="thick">
        <color rgb="FF000000"/>
      </top>
      <bottom style="thin">
        <color rgb="FF000000"/>
      </bottom>
      <diagonal/>
    </border>
    <border>
      <left style="thin">
        <color rgb="FF000000"/>
      </left>
      <right style="hair">
        <color rgb="FF000000"/>
      </right>
      <top style="double">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thin">
        <color rgb="FF000000"/>
      </right>
      <top style="hair">
        <color rgb="FF000000"/>
      </top>
      <bottom style="medium">
        <color rgb="FF000000"/>
      </bottom>
      <diagonal/>
    </border>
    <border>
      <left style="thin">
        <color rgb="FF000000"/>
      </left>
      <right style="hair">
        <color rgb="FF000000"/>
      </right>
      <top style="medium">
        <color rgb="FF000000"/>
      </top>
      <bottom style="hair">
        <color rgb="FF000000"/>
      </bottom>
      <diagonal/>
    </border>
    <border>
      <left style="hair">
        <color rgb="FF000000"/>
      </left>
      <right style="thin">
        <color rgb="FF000000"/>
      </right>
      <top style="medium">
        <color rgb="FF000000"/>
      </top>
      <bottom style="hair">
        <color rgb="FF000000"/>
      </bottom>
      <diagonal/>
    </border>
    <border>
      <left style="thin">
        <color rgb="FF000000"/>
      </left>
      <right style="hair">
        <color rgb="FF000000"/>
      </right>
      <top style="hair">
        <color rgb="FF000000"/>
      </top>
      <bottom style="thick">
        <color rgb="FF000000"/>
      </bottom>
      <diagonal/>
    </border>
    <border>
      <left style="hair">
        <color rgb="FF000000"/>
      </left>
      <right style="thin">
        <color rgb="FF000000"/>
      </right>
      <top style="hair">
        <color rgb="FF000000"/>
      </top>
      <bottom style="thick">
        <color rgb="FF000000"/>
      </bottom>
      <diagonal/>
    </border>
    <border>
      <left style="hair">
        <color auto="1"/>
      </left>
      <right style="hair">
        <color auto="1"/>
      </right>
      <top style="hair">
        <color auto="1"/>
      </top>
      <bottom style="thin">
        <color auto="1"/>
      </bottom>
      <diagonal/>
    </border>
    <border>
      <left style="thin">
        <color auto="1"/>
      </left>
      <right/>
      <top style="hair">
        <color auto="1"/>
      </top>
      <bottom style="thin">
        <color auto="1"/>
      </bottom>
      <diagonal/>
    </border>
    <border>
      <left style="hair">
        <color auto="1"/>
      </left>
      <right style="hair">
        <color auto="1"/>
      </right>
      <top style="thin">
        <color auto="1"/>
      </top>
      <bottom style="hair">
        <color auto="1"/>
      </bottom>
      <diagonal/>
    </border>
    <border>
      <left/>
      <right/>
      <top/>
      <bottom style="thin">
        <color auto="1"/>
      </bottom>
      <diagonal/>
    </border>
    <border>
      <left style="hair">
        <color auto="1"/>
      </left>
      <right style="hair">
        <color auto="1"/>
      </right>
      <top style="thin">
        <color auto="1"/>
      </top>
      <bottom style="thin">
        <color auto="1"/>
      </bottom>
      <diagonal/>
    </border>
    <border>
      <left style="thin">
        <color auto="1"/>
      </left>
      <right/>
      <top style="hair">
        <color indexed="64"/>
      </top>
      <bottom style="hair">
        <color indexed="64"/>
      </bottom>
      <diagonal/>
    </border>
    <border>
      <left style="hair">
        <color indexed="64"/>
      </left>
      <right style="thin">
        <color indexed="64"/>
      </right>
      <top style="thin">
        <color indexed="64"/>
      </top>
      <bottom style="medium">
        <color indexed="64"/>
      </bottom>
      <diagonal/>
    </border>
    <border>
      <left style="hair">
        <color indexed="64"/>
      </left>
      <right style="thin">
        <color indexed="64"/>
      </right>
      <top style="thin">
        <color indexed="64"/>
      </top>
      <bottom/>
      <diagonal/>
    </border>
    <border>
      <left style="thin">
        <color auto="1"/>
      </left>
      <right/>
      <top style="hair">
        <color auto="1"/>
      </top>
      <bottom/>
      <diagonal/>
    </border>
    <border>
      <left style="hair">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auto="1"/>
      </left>
      <right style="hair">
        <color auto="1"/>
      </right>
      <top/>
      <bottom/>
      <diagonal/>
    </border>
    <border>
      <left style="thin">
        <color indexed="64"/>
      </left>
      <right style="thin">
        <color indexed="64"/>
      </right>
      <top style="thin">
        <color indexed="64"/>
      </top>
      <bottom style="thin">
        <color indexed="64"/>
      </bottom>
      <diagonal/>
    </border>
    <border>
      <left style="thin">
        <color indexed="64"/>
      </left>
      <right/>
      <top style="double">
        <color indexed="64"/>
      </top>
      <bottom style="thick">
        <color indexed="64"/>
      </bottom>
      <diagonal/>
    </border>
    <border>
      <left/>
      <right style="thin">
        <color indexed="64"/>
      </right>
      <top style="double">
        <color indexed="64"/>
      </top>
      <bottom style="thick">
        <color indexed="64"/>
      </bottom>
      <diagonal/>
    </border>
    <border>
      <left style="thin">
        <color auto="1"/>
      </left>
      <right style="thin">
        <color theme="0" tint="-0.24994659260841701"/>
      </right>
      <top/>
      <bottom/>
      <diagonal/>
    </border>
    <border>
      <left/>
      <right style="thin">
        <color indexed="64"/>
      </right>
      <top style="thin">
        <color indexed="64"/>
      </top>
      <bottom style="hair">
        <color auto="1"/>
      </bottom>
      <diagonal/>
    </border>
    <border>
      <left style="thin">
        <color auto="1"/>
      </left>
      <right style="hair">
        <color auto="1"/>
      </right>
      <top style="double">
        <color auto="1"/>
      </top>
      <bottom style="double">
        <color auto="1"/>
      </bottom>
      <diagonal/>
    </border>
    <border>
      <left style="hair">
        <color auto="1"/>
      </left>
      <right style="hair">
        <color auto="1"/>
      </right>
      <top style="double">
        <color auto="1"/>
      </top>
      <bottom style="double">
        <color auto="1"/>
      </bottom>
      <diagonal/>
    </border>
    <border>
      <left style="hair">
        <color auto="1"/>
      </left>
      <right style="thin">
        <color auto="1"/>
      </right>
      <top style="double">
        <color auto="1"/>
      </top>
      <bottom style="double">
        <color auto="1"/>
      </bottom>
      <diagonal/>
    </border>
    <border>
      <left/>
      <right style="hair">
        <color rgb="FFE1F7FF"/>
      </right>
      <top/>
      <bottom style="hair">
        <color rgb="FFE1F7FF"/>
      </bottom>
      <diagonal/>
    </border>
    <border>
      <left style="hair">
        <color rgb="FFE1F7FF"/>
      </left>
      <right/>
      <top/>
      <bottom style="hair">
        <color rgb="FFE1F7FF"/>
      </bottom>
      <diagonal/>
    </border>
    <border>
      <left/>
      <right style="hair">
        <color rgb="FFE1F7FF"/>
      </right>
      <top style="hair">
        <color rgb="FFE1F7FF"/>
      </top>
      <bottom style="hair">
        <color rgb="FFE1F7FF"/>
      </bottom>
      <diagonal/>
    </border>
    <border>
      <left style="hair">
        <color rgb="FFE1F7FF"/>
      </left>
      <right/>
      <top style="hair">
        <color rgb="FFE1F7FF"/>
      </top>
      <bottom style="hair">
        <color rgb="FFE1F7FF"/>
      </bottom>
      <diagonal/>
    </border>
    <border>
      <left/>
      <right style="hair">
        <color rgb="FFE1F7FF"/>
      </right>
      <top style="hair">
        <color rgb="FFE1F7FF"/>
      </top>
      <bottom style="thin">
        <color auto="1"/>
      </bottom>
      <diagonal/>
    </border>
    <border>
      <left style="hair">
        <color rgb="FFE1F7FF"/>
      </left>
      <right/>
      <top style="hair">
        <color rgb="FFE1F7FF"/>
      </top>
      <bottom style="thin">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style="thin">
        <color auto="1"/>
      </bottom>
      <diagonal/>
    </border>
    <border>
      <left/>
      <right style="thin">
        <color auto="1"/>
      </right>
      <top style="thin">
        <color auto="1"/>
      </top>
      <bottom style="double">
        <color indexed="64"/>
      </bottom>
      <diagonal/>
    </border>
    <border>
      <left style="thick">
        <color indexed="64"/>
      </left>
      <right style="thick">
        <color indexed="64"/>
      </right>
      <top style="thick">
        <color indexed="64"/>
      </top>
      <bottom style="thick">
        <color indexed="64"/>
      </bottom>
      <diagonal/>
    </border>
    <border>
      <left style="thin">
        <color indexed="64"/>
      </left>
      <right style="hair">
        <color indexed="64"/>
      </right>
      <top style="double">
        <color indexed="64"/>
      </top>
      <bottom/>
      <diagonal/>
    </border>
    <border>
      <left style="hair">
        <color indexed="64"/>
      </left>
      <right style="thin">
        <color indexed="64"/>
      </right>
      <top style="double">
        <color indexed="64"/>
      </top>
      <bottom/>
      <diagonal/>
    </border>
    <border>
      <left style="hair">
        <color rgb="FF000000"/>
      </left>
      <right style="hair">
        <color rgb="FF000000"/>
      </right>
      <top style="thick">
        <color rgb="FF000000"/>
      </top>
      <bottom style="thin">
        <color rgb="FF000000"/>
      </bottom>
      <diagonal/>
    </border>
    <border>
      <left style="hair">
        <color rgb="FF000000"/>
      </left>
      <right style="hair">
        <color rgb="FF000000"/>
      </right>
      <top style="double">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medium">
        <color rgb="FF000000"/>
      </bottom>
      <diagonal/>
    </border>
    <border>
      <left style="hair">
        <color rgb="FF000000"/>
      </left>
      <right style="hair">
        <color rgb="FF000000"/>
      </right>
      <top style="medium">
        <color rgb="FF000000"/>
      </top>
      <bottom style="hair">
        <color rgb="FF000000"/>
      </bottom>
      <diagonal/>
    </border>
    <border>
      <left style="hair">
        <color rgb="FF000000"/>
      </left>
      <right style="hair">
        <color rgb="FF000000"/>
      </right>
      <top style="hair">
        <color rgb="FF000000"/>
      </top>
      <bottom style="thick">
        <color rgb="FF000000"/>
      </bottom>
      <diagonal/>
    </border>
    <border>
      <left style="hair">
        <color rgb="FF000000"/>
      </left>
      <right style="thin">
        <color rgb="FF000000"/>
      </right>
      <top style="thick">
        <color rgb="FF000000"/>
      </top>
      <bottom style="thin">
        <color rgb="FF000000"/>
      </bottom>
      <diagonal/>
    </border>
    <border>
      <left style="hair">
        <color indexed="64"/>
      </left>
      <right style="hair">
        <color indexed="64"/>
      </right>
      <top style="thin">
        <color indexed="64"/>
      </top>
      <bottom style="thick">
        <color indexed="64"/>
      </bottom>
      <diagonal/>
    </border>
    <border>
      <left style="thin">
        <color auto="1"/>
      </left>
      <right style="hair">
        <color auto="1"/>
      </right>
      <top/>
      <bottom style="medium">
        <color auto="1"/>
      </bottom>
      <diagonal/>
    </border>
    <border>
      <left/>
      <right/>
      <top style="medium">
        <color auto="1"/>
      </top>
      <bottom style="medium">
        <color indexed="64"/>
      </bottom>
      <diagonal/>
    </border>
    <border>
      <left style="hair">
        <color indexed="64"/>
      </left>
      <right/>
      <top/>
      <bottom style="hair">
        <color indexed="64"/>
      </bottom>
      <diagonal/>
    </border>
    <border>
      <left style="hair">
        <color indexed="64"/>
      </left>
      <right/>
      <top style="hair">
        <color indexed="64"/>
      </top>
      <bottom/>
      <diagonal/>
    </border>
    <border>
      <left/>
      <right style="thin">
        <color indexed="64"/>
      </right>
      <top style="hair">
        <color indexed="64"/>
      </top>
      <bottom/>
      <diagonal/>
    </border>
  </borders>
  <cellStyleXfs count="14">
    <xf numFmtId="0" fontId="0" fillId="0" borderId="0"/>
    <xf numFmtId="0" fontId="4" fillId="0" borderId="0" applyNumberFormat="0" applyFill="0" applyBorder="0" applyAlignment="0" applyProtection="0"/>
    <xf numFmtId="0" fontId="5" fillId="0" borderId="0">
      <alignment vertical="center"/>
    </xf>
    <xf numFmtId="0" fontId="6" fillId="0" borderId="0"/>
    <xf numFmtId="0" fontId="7" fillId="0" borderId="0"/>
    <xf numFmtId="0" fontId="8" fillId="0" borderId="0" applyNumberFormat="0" applyFill="0" applyBorder="0" applyAlignment="0" applyProtection="0"/>
    <xf numFmtId="164" fontId="7" fillId="0" borderId="0" applyFont="0" applyFill="0" applyBorder="0" applyAlignment="0" applyProtection="0"/>
    <xf numFmtId="0" fontId="9" fillId="0" borderId="0" applyNumberFormat="0" applyFill="0" applyBorder="0" applyAlignment="0" applyProtection="0"/>
    <xf numFmtId="0" fontId="3" fillId="0" borderId="0"/>
    <xf numFmtId="0" fontId="2" fillId="0" borderId="0"/>
    <xf numFmtId="0" fontId="10" fillId="0" borderId="0"/>
    <xf numFmtId="0" fontId="12" fillId="0" borderId="0" applyNumberFormat="0" applyFill="0" applyBorder="0" applyAlignment="0" applyProtection="0"/>
    <xf numFmtId="0" fontId="1" fillId="0" borderId="0"/>
    <xf numFmtId="0" fontId="18" fillId="0" borderId="0"/>
  </cellStyleXfs>
  <cellXfs count="620">
    <xf numFmtId="0" fontId="0" fillId="0" borderId="0" xfId="0"/>
    <xf numFmtId="0" fontId="15" fillId="0" borderId="0" xfId="0" applyFont="1" applyAlignment="1">
      <alignment vertical="center"/>
    </xf>
    <xf numFmtId="0" fontId="15" fillId="0" borderId="54" xfId="0" applyFont="1" applyBorder="1" applyAlignment="1">
      <alignment vertical="center"/>
    </xf>
    <xf numFmtId="0" fontId="15" fillId="0" borderId="78" xfId="0" applyFont="1" applyBorder="1" applyAlignment="1">
      <alignment vertical="center"/>
    </xf>
    <xf numFmtId="0" fontId="15" fillId="0" borderId="95" xfId="0" applyFont="1" applyBorder="1" applyAlignment="1">
      <alignment vertical="center"/>
    </xf>
    <xf numFmtId="0" fontId="15" fillId="0" borderId="77" xfId="0" applyFont="1" applyBorder="1" applyAlignment="1">
      <alignment vertical="center"/>
    </xf>
    <xf numFmtId="0" fontId="15" fillId="0" borderId="129" xfId="0" applyFont="1" applyBorder="1" applyAlignment="1">
      <alignment vertical="center"/>
    </xf>
    <xf numFmtId="0" fontId="24" fillId="0" borderId="0" xfId="0" applyFont="1" applyAlignment="1">
      <alignment horizontal="left" vertical="center" wrapText="1"/>
    </xf>
    <xf numFmtId="0" fontId="24" fillId="0" borderId="0" xfId="0" applyFont="1" applyAlignment="1">
      <alignment vertical="center"/>
    </xf>
    <xf numFmtId="0" fontId="24" fillId="0" borderId="0" xfId="0" applyFont="1" applyAlignment="1">
      <alignment horizontal="left" vertical="center"/>
    </xf>
    <xf numFmtId="0" fontId="24" fillId="0" borderId="0" xfId="0" applyFont="1" applyAlignment="1">
      <alignment vertical="center" wrapText="1"/>
    </xf>
    <xf numFmtId="0" fontId="24" fillId="0" borderId="0" xfId="8" applyFont="1" applyAlignment="1">
      <alignment vertical="center"/>
    </xf>
    <xf numFmtId="0" fontId="40" fillId="10" borderId="0" xfId="0" applyFont="1" applyFill="1" applyAlignment="1">
      <alignment horizontal="center" vertical="center"/>
    </xf>
    <xf numFmtId="0" fontId="27" fillId="0" borderId="0" xfId="8" applyFont="1" applyAlignment="1">
      <alignment vertical="center"/>
    </xf>
    <xf numFmtId="14" fontId="42" fillId="0" borderId="33" xfId="10" applyNumberFormat="1" applyFont="1" applyBorder="1" applyAlignment="1">
      <alignment horizontal="center" vertical="center"/>
    </xf>
    <xf numFmtId="14" fontId="42" fillId="0" borderId="48" xfId="10" applyNumberFormat="1" applyFont="1" applyBorder="1" applyAlignment="1">
      <alignment horizontal="center" vertical="center"/>
    </xf>
    <xf numFmtId="0" fontId="42" fillId="0" borderId="34" xfId="10" applyFont="1" applyBorder="1" applyAlignment="1">
      <alignment vertical="center"/>
    </xf>
    <xf numFmtId="14" fontId="42" fillId="0" borderId="76" xfId="10" applyNumberFormat="1" applyFont="1" applyBorder="1" applyAlignment="1">
      <alignment horizontal="center" vertical="center"/>
    </xf>
    <xf numFmtId="14" fontId="42" fillId="0" borderId="49" xfId="10" applyNumberFormat="1" applyFont="1" applyBorder="1" applyAlignment="1">
      <alignment horizontal="center" vertical="center"/>
    </xf>
    <xf numFmtId="0" fontId="42" fillId="0" borderId="78" xfId="10" applyFont="1" applyBorder="1" applyAlignment="1">
      <alignment vertical="center"/>
    </xf>
    <xf numFmtId="0" fontId="42" fillId="0" borderId="78" xfId="10" applyFont="1" applyBorder="1" applyAlignment="1">
      <alignment vertical="center" wrapText="1"/>
    </xf>
    <xf numFmtId="0" fontId="42" fillId="0" borderId="50" xfId="10" applyFont="1" applyBorder="1" applyAlignment="1">
      <alignment vertical="center"/>
    </xf>
    <xf numFmtId="0" fontId="42" fillId="0" borderId="36" xfId="10" applyFont="1" applyBorder="1" applyAlignment="1">
      <alignment vertical="center"/>
    </xf>
    <xf numFmtId="0" fontId="24" fillId="0" borderId="1" xfId="0" applyFont="1" applyBorder="1" applyAlignment="1">
      <alignment vertical="center"/>
    </xf>
    <xf numFmtId="14" fontId="45" fillId="0" borderId="1" xfId="0" applyNumberFormat="1" applyFont="1" applyBorder="1" applyAlignment="1">
      <alignment horizontal="right"/>
    </xf>
    <xf numFmtId="0" fontId="25" fillId="0" borderId="0" xfId="0" applyFont="1" applyAlignment="1">
      <alignment vertical="center"/>
    </xf>
    <xf numFmtId="0" fontId="25" fillId="0" borderId="0" xfId="0" applyFont="1" applyAlignment="1">
      <alignment horizontal="left" vertical="center"/>
    </xf>
    <xf numFmtId="0" fontId="42" fillId="0" borderId="0" xfId="0" applyFont="1" applyAlignment="1">
      <alignment vertical="center" wrapText="1"/>
    </xf>
    <xf numFmtId="0" fontId="49" fillId="0" borderId="0" xfId="0" applyFont="1" applyAlignment="1">
      <alignment vertical="center" wrapText="1"/>
    </xf>
    <xf numFmtId="0" fontId="25" fillId="3" borderId="0" xfId="0" applyFont="1" applyFill="1" applyAlignment="1">
      <alignment vertical="center"/>
    </xf>
    <xf numFmtId="49" fontId="33" fillId="3" borderId="0" xfId="0" applyNumberFormat="1" applyFont="1" applyFill="1" applyAlignment="1" applyProtection="1">
      <alignment horizontal="left" vertical="center"/>
      <protection locked="0"/>
    </xf>
    <xf numFmtId="0" fontId="24" fillId="3" borderId="0" xfId="0" applyFont="1" applyFill="1" applyAlignment="1">
      <alignment vertical="center"/>
    </xf>
    <xf numFmtId="0" fontId="50" fillId="0" borderId="98" xfId="0" applyFont="1" applyBorder="1" applyAlignment="1">
      <alignment horizontal="left" vertical="center"/>
    </xf>
    <xf numFmtId="0" fontId="25" fillId="0" borderId="98" xfId="0" applyFont="1" applyBorder="1" applyAlignment="1">
      <alignment horizontal="left" vertical="center"/>
    </xf>
    <xf numFmtId="0" fontId="50" fillId="0" borderId="0" xfId="0" applyFont="1" applyAlignment="1">
      <alignment horizontal="left" vertical="center"/>
    </xf>
    <xf numFmtId="0" fontId="24" fillId="0" borderId="0" xfId="0" applyFont="1" applyAlignment="1" applyProtection="1">
      <alignment horizontal="center" vertical="center"/>
      <protection locked="0"/>
    </xf>
    <xf numFmtId="0" fontId="38" fillId="0" borderId="0" xfId="0" applyFont="1" applyAlignment="1">
      <alignment wrapText="1"/>
    </xf>
    <xf numFmtId="0" fontId="52" fillId="3" borderId="56" xfId="0" applyFont="1" applyFill="1" applyBorder="1" applyAlignment="1">
      <alignment vertical="center"/>
    </xf>
    <xf numFmtId="0" fontId="26" fillId="0" borderId="0" xfId="0" applyFont="1" applyAlignment="1">
      <alignment vertical="center"/>
    </xf>
    <xf numFmtId="0" fontId="52" fillId="0" borderId="56" xfId="0" applyFont="1" applyBorder="1" applyAlignment="1">
      <alignment vertical="center"/>
    </xf>
    <xf numFmtId="0" fontId="52" fillId="3" borderId="56" xfId="0" applyFont="1" applyFill="1" applyBorder="1" applyAlignment="1">
      <alignment vertical="center" wrapText="1"/>
    </xf>
    <xf numFmtId="0" fontId="56" fillId="3" borderId="56" xfId="0" applyFont="1" applyFill="1" applyBorder="1" applyAlignment="1">
      <alignment vertical="center" wrapText="1"/>
    </xf>
    <xf numFmtId="0" fontId="52" fillId="0" borderId="56" xfId="0" applyFont="1" applyBorder="1" applyAlignment="1">
      <alignment vertical="center" wrapText="1"/>
    </xf>
    <xf numFmtId="0" fontId="30" fillId="3" borderId="56" xfId="0" applyFont="1" applyFill="1" applyBorder="1" applyAlignment="1">
      <alignment vertical="center"/>
    </xf>
    <xf numFmtId="0" fontId="30" fillId="0" borderId="0" xfId="0" applyFont="1" applyAlignment="1">
      <alignment vertical="center"/>
    </xf>
    <xf numFmtId="0" fontId="24" fillId="0" borderId="57" xfId="0" applyFont="1" applyBorder="1" applyAlignment="1">
      <alignment vertical="center"/>
    </xf>
    <xf numFmtId="0" fontId="52" fillId="3" borderId="55" xfId="0" applyFont="1" applyFill="1" applyBorder="1" applyAlignment="1">
      <alignment vertical="center"/>
    </xf>
    <xf numFmtId="0" fontId="33" fillId="0" borderId="0" xfId="0" applyFont="1" applyAlignment="1">
      <alignment vertical="center"/>
    </xf>
    <xf numFmtId="0" fontId="33" fillId="0" borderId="0" xfId="0" applyFont="1" applyAlignment="1">
      <alignment vertical="center" wrapText="1"/>
    </xf>
    <xf numFmtId="0" fontId="52" fillId="3" borderId="0" xfId="0" applyFont="1" applyFill="1" applyAlignment="1">
      <alignment vertical="center"/>
    </xf>
    <xf numFmtId="49" fontId="41" fillId="0" borderId="0" xfId="0" applyNumberFormat="1" applyFont="1" applyAlignment="1">
      <alignment horizontal="center" vertical="center"/>
    </xf>
    <xf numFmtId="0" fontId="41" fillId="0" borderId="0" xfId="0" applyFont="1" applyAlignment="1">
      <alignment horizontal="center" vertical="center"/>
    </xf>
    <xf numFmtId="14" fontId="27" fillId="0" borderId="0" xfId="0" applyNumberFormat="1" applyFont="1" applyAlignment="1">
      <alignment horizontal="center" vertical="center"/>
    </xf>
    <xf numFmtId="0" fontId="26" fillId="0" borderId="0" xfId="0" applyFont="1" applyAlignment="1">
      <alignment vertical="center" wrapText="1"/>
    </xf>
    <xf numFmtId="0" fontId="47" fillId="0" borderId="0" xfId="0" applyFont="1" applyAlignment="1">
      <alignment horizontal="left" vertical="center"/>
    </xf>
    <xf numFmtId="0" fontId="24" fillId="0" borderId="0" xfId="0" applyFont="1"/>
    <xf numFmtId="49" fontId="24" fillId="0" borderId="0" xfId="0" applyNumberFormat="1" applyFont="1" applyAlignment="1">
      <alignment vertical="center"/>
    </xf>
    <xf numFmtId="0" fontId="26" fillId="0" borderId="0" xfId="0" applyFont="1" applyAlignment="1">
      <alignment horizontal="left" vertical="center"/>
    </xf>
    <xf numFmtId="0" fontId="42" fillId="0" borderId="0" xfId="0" applyFont="1" applyAlignment="1">
      <alignment horizontal="justify" vertical="center" wrapText="1"/>
    </xf>
    <xf numFmtId="0" fontId="42" fillId="0" borderId="101" xfId="0" applyFont="1" applyBorder="1" applyAlignment="1">
      <alignment horizontal="left" vertical="center" wrapText="1"/>
    </xf>
    <xf numFmtId="0" fontId="42" fillId="0" borderId="101" xfId="0" applyFont="1" applyBorder="1" applyAlignment="1">
      <alignment horizontal="right" vertical="center"/>
    </xf>
    <xf numFmtId="0" fontId="29" fillId="0" borderId="0" xfId="0" applyFont="1" applyAlignment="1">
      <alignment vertical="center"/>
    </xf>
    <xf numFmtId="49" fontId="24" fillId="0" borderId="0" xfId="0" applyNumberFormat="1" applyFont="1" applyAlignment="1">
      <alignment horizontal="justify" vertical="center" wrapText="1"/>
    </xf>
    <xf numFmtId="0" fontId="24" fillId="0" borderId="0" xfId="0" applyFont="1" applyAlignment="1">
      <alignment horizontal="right" vertical="center" wrapText="1"/>
    </xf>
    <xf numFmtId="49" fontId="24" fillId="0" borderId="0" xfId="0" applyNumberFormat="1" applyFont="1" applyAlignment="1">
      <alignment horizontal="center" vertical="center"/>
    </xf>
    <xf numFmtId="0" fontId="24" fillId="0" borderId="74" xfId="0" applyFont="1" applyBorder="1" applyAlignment="1">
      <alignment horizontal="left" vertical="center"/>
    </xf>
    <xf numFmtId="0" fontId="24" fillId="0" borderId="75" xfId="0" applyFont="1" applyBorder="1" applyAlignment="1">
      <alignment horizontal="left" vertical="center"/>
    </xf>
    <xf numFmtId="14" fontId="24" fillId="0" borderId="75" xfId="0" applyNumberFormat="1" applyFont="1" applyBorder="1" applyAlignment="1">
      <alignment vertical="center"/>
    </xf>
    <xf numFmtId="0" fontId="60" fillId="0" borderId="0" xfId="0" applyFont="1" applyAlignment="1">
      <alignment vertical="center"/>
    </xf>
    <xf numFmtId="0" fontId="60" fillId="0" borderId="0" xfId="0" applyFont="1" applyAlignment="1">
      <alignment horizontal="left"/>
    </xf>
    <xf numFmtId="0" fontId="60" fillId="0" borderId="0" xfId="0" applyFont="1" applyAlignment="1">
      <alignment horizontal="right"/>
    </xf>
    <xf numFmtId="0" fontId="60" fillId="0" borderId="0" xfId="0" applyFont="1"/>
    <xf numFmtId="0" fontId="60" fillId="0" borderId="0" xfId="12" applyFont="1" applyAlignment="1">
      <alignment vertical="center"/>
    </xf>
    <xf numFmtId="0" fontId="60" fillId="0" borderId="0" xfId="3" applyFont="1" applyAlignment="1">
      <alignment horizontal="left" vertical="center"/>
    </xf>
    <xf numFmtId="0" fontId="64" fillId="0" borderId="0" xfId="0" applyFont="1" applyAlignment="1">
      <alignment vertical="center"/>
    </xf>
    <xf numFmtId="0" fontId="64" fillId="0" borderId="0" xfId="12" applyFont="1" applyAlignment="1">
      <alignment vertical="center" wrapText="1"/>
    </xf>
    <xf numFmtId="0" fontId="65" fillId="0" borderId="83" xfId="0" applyFont="1" applyBorder="1" applyAlignment="1">
      <alignment vertical="center"/>
    </xf>
    <xf numFmtId="0" fontId="65" fillId="0" borderId="84" xfId="0" applyFont="1" applyBorder="1" applyAlignment="1">
      <alignment vertical="center"/>
    </xf>
    <xf numFmtId="0" fontId="63" fillId="12" borderId="78" xfId="0" applyFont="1" applyFill="1" applyBorder="1" applyAlignment="1">
      <alignment horizontal="center" vertical="center"/>
    </xf>
    <xf numFmtId="0" fontId="60" fillId="0" borderId="83" xfId="0" applyFont="1" applyBorder="1" applyAlignment="1">
      <alignment vertical="center"/>
    </xf>
    <xf numFmtId="0" fontId="60" fillId="0" borderId="84" xfId="0" applyFont="1" applyBorder="1" applyAlignment="1">
      <alignment vertical="center"/>
    </xf>
    <xf numFmtId="0" fontId="60" fillId="0" borderId="85" xfId="0" applyFont="1" applyBorder="1" applyAlignment="1">
      <alignment vertical="center"/>
    </xf>
    <xf numFmtId="0" fontId="60" fillId="0" borderId="84" xfId="0" applyFont="1" applyBorder="1" applyAlignment="1">
      <alignment horizontal="right" vertical="center"/>
    </xf>
    <xf numFmtId="0" fontId="64" fillId="0" borderId="83" xfId="13" applyFont="1" applyBorder="1" applyAlignment="1">
      <alignment horizontal="left" vertical="center" wrapText="1"/>
    </xf>
    <xf numFmtId="0" fontId="64" fillId="0" borderId="84" xfId="10" applyFont="1" applyBorder="1" applyAlignment="1">
      <alignment horizontal="right" vertical="center" wrapText="1"/>
    </xf>
    <xf numFmtId="0" fontId="64" fillId="0" borderId="85" xfId="10" applyFont="1" applyBorder="1" applyAlignment="1">
      <alignment horizontal="right" vertical="center" wrapText="1"/>
    </xf>
    <xf numFmtId="2" fontId="60" fillId="0" borderId="0" xfId="0" applyNumberFormat="1" applyFont="1"/>
    <xf numFmtId="0" fontId="60" fillId="14" borderId="49" xfId="0" applyFont="1" applyFill="1" applyBorder="1" applyAlignment="1">
      <alignment vertical="center" wrapText="1"/>
    </xf>
    <xf numFmtId="0" fontId="60" fillId="0" borderId="83" xfId="12" applyFont="1" applyBorder="1" applyAlignment="1">
      <alignment vertical="center"/>
    </xf>
    <xf numFmtId="0" fontId="60" fillId="0" borderId="84" xfId="12" applyFont="1" applyBorder="1" applyAlignment="1">
      <alignment vertical="center"/>
    </xf>
    <xf numFmtId="0" fontId="60" fillId="0" borderId="85" xfId="12" applyFont="1" applyBorder="1" applyAlignment="1">
      <alignment vertical="center"/>
    </xf>
    <xf numFmtId="0" fontId="60" fillId="16" borderId="61" xfId="12" applyFont="1" applyFill="1" applyBorder="1" applyAlignment="1">
      <alignment horizontal="center" vertical="center"/>
    </xf>
    <xf numFmtId="0" fontId="60" fillId="15" borderId="85" xfId="12" applyFont="1" applyFill="1" applyBorder="1" applyAlignment="1">
      <alignment horizontal="center" vertical="center"/>
    </xf>
    <xf numFmtId="0" fontId="65" fillId="0" borderId="76" xfId="0" applyFont="1" applyBorder="1" applyAlignment="1">
      <alignment vertical="center"/>
    </xf>
    <xf numFmtId="0" fontId="65" fillId="0" borderId="77" xfId="0" applyFont="1" applyBorder="1" applyAlignment="1">
      <alignment vertical="center"/>
    </xf>
    <xf numFmtId="17" fontId="65" fillId="0" borderId="77" xfId="0" applyNumberFormat="1" applyFont="1" applyBorder="1" applyAlignment="1">
      <alignment vertical="center"/>
    </xf>
    <xf numFmtId="0" fontId="60" fillId="0" borderId="76" xfId="0" applyFont="1" applyBorder="1" applyAlignment="1">
      <alignment vertical="center"/>
    </xf>
    <xf numFmtId="0" fontId="60" fillId="0" borderId="77" xfId="0" applyFont="1" applyBorder="1" applyAlignment="1">
      <alignment vertical="center"/>
    </xf>
    <xf numFmtId="0" fontId="60" fillId="0" borderId="78" xfId="0" applyFont="1" applyBorder="1" applyAlignment="1">
      <alignment vertical="center"/>
    </xf>
    <xf numFmtId="0" fontId="60" fillId="0" borderId="77" xfId="0" applyFont="1" applyBorder="1" applyAlignment="1">
      <alignment horizontal="right" vertical="center"/>
    </xf>
    <xf numFmtId="0" fontId="60" fillId="0" borderId="76" xfId="13" applyFont="1" applyBorder="1" applyAlignment="1">
      <alignment horizontal="left" vertical="center" wrapText="1"/>
    </xf>
    <xf numFmtId="0" fontId="64" fillId="0" borderId="77" xfId="0" applyFont="1" applyBorder="1" applyAlignment="1">
      <alignment horizontal="right" vertical="center"/>
    </xf>
    <xf numFmtId="0" fontId="64" fillId="0" borderId="78" xfId="0" applyFont="1" applyBorder="1" applyAlignment="1">
      <alignment horizontal="right" vertical="center"/>
    </xf>
    <xf numFmtId="0" fontId="60" fillId="8" borderId="49" xfId="0" applyFont="1" applyFill="1" applyBorder="1" applyAlignment="1">
      <alignment vertical="center" wrapText="1"/>
    </xf>
    <xf numFmtId="0" fontId="60" fillId="0" borderId="76" xfId="12" applyFont="1" applyBorder="1" applyAlignment="1">
      <alignment vertical="center"/>
    </xf>
    <xf numFmtId="0" fontId="60" fillId="0" borderId="77" xfId="12" applyFont="1" applyBorder="1" applyAlignment="1">
      <alignment vertical="center"/>
    </xf>
    <xf numFmtId="0" fontId="60" fillId="0" borderId="78" xfId="12" applyFont="1" applyBorder="1" applyAlignment="1">
      <alignment vertical="center"/>
    </xf>
    <xf numFmtId="0" fontId="60" fillId="15" borderId="63" xfId="12" applyFont="1" applyFill="1" applyBorder="1" applyAlignment="1">
      <alignment horizontal="center" vertical="center"/>
    </xf>
    <xf numFmtId="0" fontId="60" fillId="15" borderId="36" xfId="12" applyFont="1" applyFill="1" applyBorder="1" applyAlignment="1">
      <alignment horizontal="center" vertical="center"/>
    </xf>
    <xf numFmtId="0" fontId="60" fillId="0" borderId="49" xfId="0" applyFont="1" applyBorder="1" applyAlignment="1">
      <alignment vertical="center" wrapText="1"/>
    </xf>
    <xf numFmtId="0" fontId="60" fillId="0" borderId="35" xfId="12" applyFont="1" applyBorder="1" applyAlignment="1">
      <alignment vertical="center"/>
    </xf>
    <xf numFmtId="0" fontId="60" fillId="0" borderId="40" xfId="12" applyFont="1" applyBorder="1" applyAlignment="1">
      <alignment vertical="center"/>
    </xf>
    <xf numFmtId="0" fontId="60" fillId="0" borderId="36" xfId="12" applyFont="1" applyBorder="1" applyAlignment="1">
      <alignment vertical="center"/>
    </xf>
    <xf numFmtId="0" fontId="60" fillId="0" borderId="42" xfId="0" applyFont="1" applyBorder="1" applyAlignment="1">
      <alignment vertical="center"/>
    </xf>
    <xf numFmtId="0" fontId="65" fillId="0" borderId="43" xfId="0" applyFont="1" applyBorder="1" applyAlignment="1">
      <alignment vertical="center"/>
    </xf>
    <xf numFmtId="17" fontId="65" fillId="0" borderId="43" xfId="0" applyNumberFormat="1" applyFont="1" applyBorder="1" applyAlignment="1">
      <alignment vertical="center"/>
    </xf>
    <xf numFmtId="0" fontId="60" fillId="0" borderId="76" xfId="10" applyFont="1" applyBorder="1" applyAlignment="1">
      <alignment horizontal="left" vertical="center" wrapText="1"/>
    </xf>
    <xf numFmtId="0" fontId="60" fillId="0" borderId="36" xfId="0" applyFont="1" applyBorder="1" applyAlignment="1">
      <alignment vertical="center"/>
    </xf>
    <xf numFmtId="0" fontId="65" fillId="0" borderId="41" xfId="0" applyFont="1" applyBorder="1" applyAlignment="1">
      <alignment vertical="center"/>
    </xf>
    <xf numFmtId="0" fontId="60" fillId="0" borderId="35" xfId="0" applyFont="1" applyBorder="1" applyAlignment="1">
      <alignment vertical="center"/>
    </xf>
    <xf numFmtId="0" fontId="60" fillId="0" borderId="40" xfId="0" applyFont="1" applyBorder="1" applyAlignment="1">
      <alignment vertical="center"/>
    </xf>
    <xf numFmtId="0" fontId="65" fillId="0" borderId="35" xfId="0" applyFont="1" applyBorder="1" applyAlignment="1">
      <alignment vertical="center"/>
    </xf>
    <xf numFmtId="0" fontId="63" fillId="12" borderId="36" xfId="0" applyFont="1" applyFill="1" applyBorder="1" applyAlignment="1">
      <alignment horizontal="center" vertical="center"/>
    </xf>
    <xf numFmtId="0" fontId="60" fillId="17" borderId="84" xfId="12" applyFont="1" applyFill="1" applyBorder="1" applyAlignment="1">
      <alignment horizontal="center" vertical="center"/>
    </xf>
    <xf numFmtId="0" fontId="60" fillId="11" borderId="84" xfId="12" applyFont="1" applyFill="1" applyBorder="1" applyAlignment="1">
      <alignment horizontal="center" vertical="center"/>
    </xf>
    <xf numFmtId="0" fontId="64" fillId="6" borderId="85" xfId="12" applyFont="1" applyFill="1" applyBorder="1" applyAlignment="1">
      <alignment horizontal="center" vertical="center"/>
    </xf>
    <xf numFmtId="0" fontId="60" fillId="17" borderId="77" xfId="12" applyFont="1" applyFill="1" applyBorder="1" applyAlignment="1">
      <alignment horizontal="center" vertical="center"/>
    </xf>
    <xf numFmtId="0" fontId="60" fillId="11" borderId="77" xfId="12" applyFont="1" applyFill="1" applyBorder="1" applyAlignment="1">
      <alignment horizontal="center" vertical="center"/>
    </xf>
    <xf numFmtId="0" fontId="64" fillId="2" borderId="78" xfId="12" applyFont="1" applyFill="1" applyBorder="1" applyAlignment="1">
      <alignment horizontal="center" vertical="center"/>
    </xf>
    <xf numFmtId="0" fontId="64" fillId="5" borderId="78" xfId="12" applyFont="1" applyFill="1" applyBorder="1" applyAlignment="1">
      <alignment horizontal="center" vertical="center"/>
    </xf>
    <xf numFmtId="0" fontId="65" fillId="19" borderId="22" xfId="0" applyFont="1" applyFill="1" applyBorder="1" applyAlignment="1">
      <alignment vertical="center"/>
    </xf>
    <xf numFmtId="0" fontId="65" fillId="19" borderId="19" xfId="0" applyFont="1" applyFill="1" applyBorder="1" applyAlignment="1">
      <alignment vertical="center"/>
    </xf>
    <xf numFmtId="3" fontId="60" fillId="19" borderId="19" xfId="0" applyNumberFormat="1" applyFont="1" applyFill="1" applyBorder="1" applyAlignment="1">
      <alignment vertical="center"/>
    </xf>
    <xf numFmtId="3" fontId="65" fillId="19" borderId="19" xfId="0" applyNumberFormat="1" applyFont="1" applyFill="1" applyBorder="1" applyAlignment="1">
      <alignment vertical="center"/>
    </xf>
    <xf numFmtId="0" fontId="63" fillId="19" borderId="23" xfId="0" applyFont="1" applyFill="1" applyBorder="1" applyAlignment="1">
      <alignment vertical="center"/>
    </xf>
    <xf numFmtId="0" fontId="60" fillId="0" borderId="41" xfId="0" applyFont="1" applyBorder="1" applyAlignment="1">
      <alignment vertical="center"/>
    </xf>
    <xf numFmtId="0" fontId="60" fillId="0" borderId="117" xfId="0" applyFont="1" applyBorder="1" applyAlignment="1">
      <alignment vertical="center"/>
    </xf>
    <xf numFmtId="0" fontId="60" fillId="0" borderId="106" xfId="0" applyFont="1" applyBorder="1" applyAlignment="1">
      <alignment vertical="center"/>
    </xf>
    <xf numFmtId="0" fontId="60" fillId="0" borderId="117" xfId="0" applyFont="1" applyBorder="1" applyAlignment="1">
      <alignment horizontal="right" vertical="center"/>
    </xf>
    <xf numFmtId="0" fontId="60" fillId="17" borderId="40" xfId="12" applyFont="1" applyFill="1" applyBorder="1" applyAlignment="1">
      <alignment horizontal="center" vertical="center"/>
    </xf>
    <xf numFmtId="0" fontId="60" fillId="11" borderId="40" xfId="12" applyFont="1" applyFill="1" applyBorder="1" applyAlignment="1">
      <alignment horizontal="center" vertical="center"/>
    </xf>
    <xf numFmtId="0" fontId="64" fillId="7" borderId="36" xfId="12" applyFont="1" applyFill="1" applyBorder="1" applyAlignment="1">
      <alignment horizontal="center" vertical="center"/>
    </xf>
    <xf numFmtId="0" fontId="65" fillId="19" borderId="24" xfId="0" applyFont="1" applyFill="1" applyBorder="1" applyAlignment="1">
      <alignment vertical="center"/>
    </xf>
    <xf numFmtId="0" fontId="65" fillId="19" borderId="20" xfId="0" applyFont="1" applyFill="1" applyBorder="1" applyAlignment="1">
      <alignment vertical="center"/>
    </xf>
    <xf numFmtId="0" fontId="60" fillId="19" borderId="20" xfId="0" applyFont="1" applyFill="1" applyBorder="1" applyAlignment="1">
      <alignment vertical="center"/>
    </xf>
    <xf numFmtId="3" fontId="65" fillId="19" borderId="20" xfId="0" applyNumberFormat="1" applyFont="1" applyFill="1" applyBorder="1" applyAlignment="1">
      <alignment vertical="center"/>
    </xf>
    <xf numFmtId="0" fontId="63" fillId="19" borderId="25" xfId="0" applyFont="1" applyFill="1" applyBorder="1" applyAlignment="1">
      <alignment vertical="center"/>
    </xf>
    <xf numFmtId="0" fontId="64" fillId="15" borderId="24" xfId="0" applyFont="1" applyFill="1" applyBorder="1" applyAlignment="1">
      <alignment vertical="center"/>
    </xf>
    <xf numFmtId="0" fontId="64" fillId="15" borderId="20" xfId="0" applyFont="1" applyFill="1" applyBorder="1" applyAlignment="1">
      <alignment vertical="center"/>
    </xf>
    <xf numFmtId="3" fontId="64" fillId="15" borderId="20" xfId="0" applyNumberFormat="1" applyFont="1" applyFill="1" applyBorder="1" applyAlignment="1">
      <alignment vertical="center"/>
    </xf>
    <xf numFmtId="0" fontId="64" fillId="15" borderId="25" xfId="0" applyFont="1" applyFill="1" applyBorder="1" applyAlignment="1">
      <alignment vertical="center"/>
    </xf>
    <xf numFmtId="0" fontId="64" fillId="18" borderId="24" xfId="0" applyFont="1" applyFill="1" applyBorder="1" applyAlignment="1">
      <alignment vertical="center"/>
    </xf>
    <xf numFmtId="0" fontId="64" fillId="18" borderId="20" xfId="0" applyFont="1" applyFill="1" applyBorder="1" applyAlignment="1">
      <alignment vertical="center"/>
    </xf>
    <xf numFmtId="3" fontId="64" fillId="18" borderId="20" xfId="0" applyNumberFormat="1" applyFont="1" applyFill="1" applyBorder="1" applyAlignment="1">
      <alignment vertical="center"/>
    </xf>
    <xf numFmtId="0" fontId="64" fillId="18" borderId="25" xfId="0" applyFont="1" applyFill="1" applyBorder="1" applyAlignment="1">
      <alignment vertical="center" wrapText="1"/>
    </xf>
    <xf numFmtId="0" fontId="64" fillId="16" borderId="26" xfId="0" applyFont="1" applyFill="1" applyBorder="1" applyAlignment="1">
      <alignment vertical="center"/>
    </xf>
    <xf numFmtId="0" fontId="64" fillId="16" borderId="21" xfId="0" applyFont="1" applyFill="1" applyBorder="1" applyAlignment="1">
      <alignment vertical="center"/>
    </xf>
    <xf numFmtId="3" fontId="64" fillId="16" borderId="21" xfId="0" applyNumberFormat="1" applyFont="1" applyFill="1" applyBorder="1" applyAlignment="1">
      <alignment vertical="center"/>
    </xf>
    <xf numFmtId="0" fontId="64" fillId="16" borderId="27" xfId="0" applyFont="1" applyFill="1" applyBorder="1" applyAlignment="1">
      <alignment vertical="center" wrapText="1"/>
    </xf>
    <xf numFmtId="0" fontId="60" fillId="0" borderId="43" xfId="0" applyFont="1" applyBorder="1" applyAlignment="1">
      <alignment vertical="center"/>
    </xf>
    <xf numFmtId="0" fontId="60" fillId="0" borderId="109" xfId="0" applyFont="1" applyBorder="1" applyAlignment="1">
      <alignment vertical="center"/>
    </xf>
    <xf numFmtId="0" fontId="60" fillId="0" borderId="43" xfId="0" applyFont="1" applyBorder="1" applyAlignment="1">
      <alignment horizontal="right" vertical="center"/>
    </xf>
    <xf numFmtId="0" fontId="60" fillId="4" borderId="99" xfId="0" applyFont="1" applyFill="1" applyBorder="1" applyAlignment="1">
      <alignment vertical="center"/>
    </xf>
    <xf numFmtId="0" fontId="60" fillId="4" borderId="133" xfId="0" applyFont="1" applyFill="1" applyBorder="1" applyAlignment="1">
      <alignment vertical="center"/>
    </xf>
    <xf numFmtId="0" fontId="60" fillId="4" borderId="133" xfId="0" applyFont="1" applyFill="1" applyBorder="1" applyAlignment="1">
      <alignment horizontal="right" vertical="center"/>
    </xf>
    <xf numFmtId="0" fontId="60" fillId="4" borderId="100" xfId="0" applyFont="1" applyFill="1" applyBorder="1" applyAlignment="1">
      <alignment vertical="center"/>
    </xf>
    <xf numFmtId="0" fontId="60" fillId="4" borderId="83" xfId="0" applyFont="1" applyFill="1" applyBorder="1" applyAlignment="1">
      <alignment vertical="center"/>
    </xf>
    <xf numFmtId="0" fontId="60" fillId="4" borderId="84" xfId="0" applyFont="1" applyFill="1" applyBorder="1" applyAlignment="1">
      <alignment vertical="center"/>
    </xf>
    <xf numFmtId="0" fontId="60" fillId="4" borderId="84" xfId="0" applyFont="1" applyFill="1" applyBorder="1" applyAlignment="1">
      <alignment horizontal="right" vertical="center"/>
    </xf>
    <xf numFmtId="0" fontId="60" fillId="4" borderId="85" xfId="0" applyFont="1" applyFill="1" applyBorder="1" applyAlignment="1">
      <alignment vertical="center"/>
    </xf>
    <xf numFmtId="0" fontId="60" fillId="4" borderId="76" xfId="0" applyFont="1" applyFill="1" applyBorder="1" applyAlignment="1">
      <alignment vertical="center"/>
    </xf>
    <xf numFmtId="0" fontId="60" fillId="4" borderId="77" xfId="0" applyFont="1" applyFill="1" applyBorder="1" applyAlignment="1">
      <alignment vertical="center"/>
    </xf>
    <xf numFmtId="0" fontId="60" fillId="4" borderId="77" xfId="0" applyFont="1" applyFill="1" applyBorder="1" applyAlignment="1">
      <alignment horizontal="right" vertical="center"/>
    </xf>
    <xf numFmtId="0" fontId="60" fillId="4" borderId="78" xfId="0" applyFont="1" applyFill="1" applyBorder="1" applyAlignment="1">
      <alignment vertical="center"/>
    </xf>
    <xf numFmtId="0" fontId="60" fillId="4" borderId="35" xfId="0" applyFont="1" applyFill="1" applyBorder="1" applyAlignment="1">
      <alignment vertical="center"/>
    </xf>
    <xf numFmtId="0" fontId="60" fillId="4" borderId="40" xfId="0" applyFont="1" applyFill="1" applyBorder="1" applyAlignment="1">
      <alignment vertical="center"/>
    </xf>
    <xf numFmtId="0" fontId="60" fillId="4" borderId="40" xfId="0" applyFont="1" applyFill="1" applyBorder="1" applyAlignment="1">
      <alignment horizontal="right" vertical="center"/>
    </xf>
    <xf numFmtId="0" fontId="60" fillId="4" borderId="36" xfId="0" applyFont="1" applyFill="1" applyBorder="1" applyAlignment="1">
      <alignment vertical="center"/>
    </xf>
    <xf numFmtId="0" fontId="64" fillId="0" borderId="76" xfId="13" applyFont="1" applyBorder="1" applyAlignment="1">
      <alignment horizontal="left" vertical="center" wrapText="1"/>
    </xf>
    <xf numFmtId="0" fontId="60" fillId="0" borderId="80" xfId="10" applyFont="1" applyBorder="1" applyAlignment="1">
      <alignment horizontal="left" vertical="center" wrapText="1"/>
    </xf>
    <xf numFmtId="0" fontId="64" fillId="0" borderId="81" xfId="0" applyFont="1" applyBorder="1" applyAlignment="1">
      <alignment horizontal="right" vertical="center"/>
    </xf>
    <xf numFmtId="0" fontId="64" fillId="0" borderId="82" xfId="0" applyFont="1" applyBorder="1" applyAlignment="1">
      <alignment horizontal="right" vertical="center"/>
    </xf>
    <xf numFmtId="0" fontId="60" fillId="0" borderId="0" xfId="0" applyFont="1" applyAlignment="1">
      <alignment horizontal="left" vertical="center"/>
    </xf>
    <xf numFmtId="0" fontId="24" fillId="20" borderId="0" xfId="8" applyFont="1" applyFill="1" applyAlignment="1">
      <alignment vertical="center"/>
    </xf>
    <xf numFmtId="0" fontId="24" fillId="20" borderId="0" xfId="0" applyFont="1" applyFill="1" applyAlignment="1">
      <alignment vertical="center"/>
    </xf>
    <xf numFmtId="0" fontId="27" fillId="20" borderId="0" xfId="8" applyFont="1" applyFill="1" applyAlignment="1">
      <alignment vertical="center"/>
    </xf>
    <xf numFmtId="0" fontId="25" fillId="21" borderId="33" xfId="0" applyFont="1" applyFill="1" applyBorder="1" applyAlignment="1">
      <alignment vertical="center"/>
    </xf>
    <xf numFmtId="0" fontId="25" fillId="21" borderId="76" xfId="0" applyFont="1" applyFill="1" applyBorder="1" applyAlignment="1">
      <alignment vertical="center"/>
    </xf>
    <xf numFmtId="0" fontId="25" fillId="21" borderId="80" xfId="0" applyFont="1" applyFill="1" applyBorder="1" applyAlignment="1">
      <alignment vertical="center" wrapText="1"/>
    </xf>
    <xf numFmtId="1" fontId="33" fillId="22" borderId="78" xfId="0" applyNumberFormat="1" applyFont="1" applyFill="1" applyBorder="1" applyAlignment="1" applyProtection="1">
      <alignment horizontal="left" vertical="center"/>
      <protection locked="0"/>
    </xf>
    <xf numFmtId="49" fontId="33" fillId="22" borderId="82" xfId="0" applyNumberFormat="1" applyFont="1" applyFill="1" applyBorder="1" applyAlignment="1" applyProtection="1">
      <alignment horizontal="left" vertical="center"/>
      <protection locked="0"/>
    </xf>
    <xf numFmtId="0" fontId="25" fillId="21" borderId="80" xfId="0" applyFont="1" applyFill="1" applyBorder="1" applyAlignment="1">
      <alignment vertical="center"/>
    </xf>
    <xf numFmtId="0" fontId="25" fillId="21" borderId="110" xfId="0" applyFont="1" applyFill="1" applyBorder="1" applyAlignment="1">
      <alignment vertical="center"/>
    </xf>
    <xf numFmtId="0" fontId="25" fillId="21" borderId="41" xfId="0" applyFont="1" applyFill="1" applyBorder="1" applyAlignment="1">
      <alignment vertical="center"/>
    </xf>
    <xf numFmtId="49" fontId="33" fillId="22" borderId="34" xfId="0" applyNumberFormat="1" applyFont="1" applyFill="1" applyBorder="1" applyAlignment="1" applyProtection="1">
      <alignment horizontal="left" vertical="center"/>
      <protection locked="0"/>
    </xf>
    <xf numFmtId="49" fontId="33" fillId="22" borderId="78" xfId="0" applyNumberFormat="1" applyFont="1" applyFill="1" applyBorder="1" applyAlignment="1" applyProtection="1">
      <alignment horizontal="left" vertical="center" wrapText="1"/>
      <protection locked="0"/>
    </xf>
    <xf numFmtId="0" fontId="33" fillId="22" borderId="111" xfId="0" applyFont="1" applyFill="1" applyBorder="1" applyAlignment="1" applyProtection="1">
      <alignment horizontal="left" vertical="center"/>
      <protection locked="0"/>
    </xf>
    <xf numFmtId="0" fontId="33" fillId="22" borderId="106" xfId="0" applyFont="1" applyFill="1" applyBorder="1" applyAlignment="1" applyProtection="1">
      <alignment horizontal="left" vertical="center"/>
      <protection locked="0"/>
    </xf>
    <xf numFmtId="49" fontId="33" fillId="22" borderId="78" xfId="0" applyNumberFormat="1" applyFont="1" applyFill="1" applyBorder="1" applyAlignment="1" applyProtection="1">
      <alignment horizontal="left" vertical="center"/>
      <protection locked="0"/>
    </xf>
    <xf numFmtId="0" fontId="25" fillId="21" borderId="53" xfId="0" applyFont="1" applyFill="1" applyBorder="1" applyAlignment="1">
      <alignment vertical="center"/>
    </xf>
    <xf numFmtId="49" fontId="33" fillId="22" borderId="54" xfId="0" applyNumberFormat="1" applyFont="1" applyFill="1" applyBorder="1" applyAlignment="1" applyProtection="1">
      <alignment horizontal="left" vertical="center"/>
      <protection locked="0"/>
    </xf>
    <xf numFmtId="49" fontId="33" fillId="22" borderId="111" xfId="0" applyNumberFormat="1" applyFont="1" applyFill="1" applyBorder="1" applyAlignment="1" applyProtection="1">
      <alignment horizontal="left" vertical="center"/>
      <protection locked="0"/>
    </xf>
    <xf numFmtId="0" fontId="25" fillId="21" borderId="112" xfId="0" applyFont="1" applyFill="1" applyBorder="1" applyAlignment="1">
      <alignment vertical="center"/>
    </xf>
    <xf numFmtId="49" fontId="33" fillId="22" borderId="113" xfId="0" applyNumberFormat="1" applyFont="1" applyFill="1" applyBorder="1" applyAlignment="1" applyProtection="1">
      <alignment horizontal="left" vertical="center" wrapText="1"/>
      <protection locked="0"/>
    </xf>
    <xf numFmtId="0" fontId="25" fillId="21" borderId="110" xfId="0" applyFont="1" applyFill="1" applyBorder="1" applyAlignment="1">
      <alignment horizontal="left" vertical="center" wrapText="1"/>
    </xf>
    <xf numFmtId="0" fontId="25" fillId="21" borderId="80" xfId="0" applyFont="1" applyFill="1" applyBorder="1" applyAlignment="1">
      <alignment horizontal="left" vertical="center" wrapText="1"/>
    </xf>
    <xf numFmtId="0" fontId="38" fillId="21" borderId="41" xfId="0" applyFont="1" applyFill="1" applyBorder="1" applyAlignment="1">
      <alignment vertical="center" wrapText="1"/>
    </xf>
    <xf numFmtId="0" fontId="38" fillId="21" borderId="140" xfId="0" applyFont="1" applyFill="1" applyBorder="1" applyAlignment="1">
      <alignment vertical="center" wrapText="1"/>
    </xf>
    <xf numFmtId="0" fontId="38" fillId="21" borderId="53" xfId="0" applyFont="1" applyFill="1" applyBorder="1" applyAlignment="1">
      <alignment horizontal="left" vertical="center" wrapText="1"/>
    </xf>
    <xf numFmtId="0" fontId="38" fillId="21" borderId="80" xfId="0" applyFont="1" applyFill="1" applyBorder="1" applyAlignment="1">
      <alignment horizontal="left" vertical="center" wrapText="1"/>
    </xf>
    <xf numFmtId="1" fontId="33" fillId="22" borderId="54" xfId="0" applyNumberFormat="1" applyFont="1" applyFill="1" applyBorder="1" applyAlignment="1" applyProtection="1">
      <alignment horizontal="left" vertical="center"/>
      <protection locked="0"/>
    </xf>
    <xf numFmtId="49" fontId="33" fillId="22" borderId="109" xfId="0" applyNumberFormat="1" applyFont="1" applyFill="1" applyBorder="1" applyAlignment="1" applyProtection="1">
      <alignment horizontal="left" vertical="center" wrapText="1"/>
      <protection locked="0"/>
    </xf>
    <xf numFmtId="49" fontId="36" fillId="22" borderId="82" xfId="0" applyNumberFormat="1" applyFont="1" applyFill="1" applyBorder="1" applyAlignment="1" applyProtection="1">
      <alignment horizontal="left" vertical="center"/>
      <protection locked="0"/>
    </xf>
    <xf numFmtId="0" fontId="25" fillId="21" borderId="114" xfId="0" applyFont="1" applyFill="1" applyBorder="1" applyAlignment="1">
      <alignment vertical="center"/>
    </xf>
    <xf numFmtId="0" fontId="33" fillId="21" borderId="115" xfId="0" applyFont="1" applyFill="1" applyBorder="1" applyAlignment="1">
      <alignment horizontal="left" vertical="center"/>
    </xf>
    <xf numFmtId="0" fontId="48" fillId="21" borderId="44" xfId="0" applyFont="1" applyFill="1" applyBorder="1" applyAlignment="1">
      <alignment vertical="center"/>
    </xf>
    <xf numFmtId="0" fontId="24" fillId="22" borderId="54" xfId="0" applyFont="1" applyFill="1" applyBorder="1" applyAlignment="1" applyProtection="1">
      <alignment vertical="center"/>
      <protection locked="0"/>
    </xf>
    <xf numFmtId="0" fontId="24" fillId="22" borderId="78" xfId="0" applyFont="1" applyFill="1" applyBorder="1" applyAlignment="1" applyProtection="1">
      <alignment vertical="center"/>
      <protection locked="0"/>
    </xf>
    <xf numFmtId="0" fontId="24" fillId="22" borderId="95" xfId="0" applyFont="1" applyFill="1" applyBorder="1" applyAlignment="1" applyProtection="1">
      <alignment vertical="center"/>
      <protection locked="0"/>
    </xf>
    <xf numFmtId="0" fontId="24" fillId="22" borderId="100" xfId="0" applyFont="1" applyFill="1" applyBorder="1" applyAlignment="1" applyProtection="1">
      <alignment vertical="center"/>
      <protection locked="0"/>
    </xf>
    <xf numFmtId="0" fontId="33" fillId="22" borderId="95" xfId="0" applyFont="1" applyFill="1" applyBorder="1" applyAlignment="1" applyProtection="1">
      <alignment vertical="center"/>
      <protection locked="0"/>
    </xf>
    <xf numFmtId="0" fontId="24" fillId="22" borderId="136" xfId="0" applyFont="1" applyFill="1" applyBorder="1" applyAlignment="1" applyProtection="1">
      <alignment vertical="center"/>
      <protection locked="0"/>
    </xf>
    <xf numFmtId="0" fontId="24" fillId="22" borderId="135" xfId="0" applyFont="1" applyFill="1" applyBorder="1" applyAlignment="1" applyProtection="1">
      <alignment vertical="center"/>
      <protection locked="0"/>
    </xf>
    <xf numFmtId="0" fontId="24" fillId="22" borderId="115" xfId="0" applyFont="1" applyFill="1" applyBorder="1" applyAlignment="1" applyProtection="1">
      <alignment vertical="center"/>
      <protection locked="0"/>
    </xf>
    <xf numFmtId="0" fontId="24" fillId="22" borderId="111" xfId="0" applyFont="1" applyFill="1" applyBorder="1" applyAlignment="1" applyProtection="1">
      <alignment vertical="center" wrapText="1"/>
      <protection locked="0"/>
    </xf>
    <xf numFmtId="0" fontId="24" fillId="22" borderId="36" xfId="0" applyFont="1" applyFill="1" applyBorder="1" applyAlignment="1" applyProtection="1">
      <alignment vertical="center" wrapText="1"/>
      <protection locked="0"/>
    </xf>
    <xf numFmtId="0" fontId="24" fillId="0" borderId="144" xfId="0" applyFont="1" applyBorder="1" applyAlignment="1">
      <alignment vertical="center"/>
    </xf>
    <xf numFmtId="0" fontId="52" fillId="0" borderId="144" xfId="0" applyFont="1" applyBorder="1" applyAlignment="1">
      <alignment vertical="center"/>
    </xf>
    <xf numFmtId="0" fontId="25" fillId="25" borderId="0" xfId="0" applyFont="1" applyFill="1" applyAlignment="1">
      <alignment vertical="center"/>
    </xf>
    <xf numFmtId="0" fontId="24" fillId="25" borderId="0" xfId="0" applyFont="1" applyFill="1" applyAlignment="1">
      <alignment vertical="center"/>
    </xf>
    <xf numFmtId="0" fontId="24" fillId="25" borderId="0" xfId="0" applyFont="1" applyFill="1" applyAlignment="1">
      <alignment horizontal="right" vertical="center"/>
    </xf>
    <xf numFmtId="0" fontId="26" fillId="25" borderId="0" xfId="0" applyFont="1" applyFill="1" applyAlignment="1">
      <alignment vertical="center"/>
    </xf>
    <xf numFmtId="0" fontId="24" fillId="21" borderId="0" xfId="0" applyFont="1" applyFill="1" applyAlignment="1">
      <alignment vertical="center"/>
    </xf>
    <xf numFmtId="0" fontId="24" fillId="22" borderId="78" xfId="0" applyFont="1" applyFill="1" applyBorder="1" applyAlignment="1" applyProtection="1">
      <alignment vertical="center" wrapText="1"/>
      <protection locked="0"/>
    </xf>
    <xf numFmtId="0" fontId="24" fillId="22" borderId="108" xfId="0" applyFont="1" applyFill="1" applyBorder="1" applyAlignment="1" applyProtection="1">
      <alignment vertical="center" wrapText="1"/>
      <protection locked="0"/>
    </xf>
    <xf numFmtId="0" fontId="24" fillId="0" borderId="4" xfId="0" applyFont="1" applyBorder="1" applyAlignment="1">
      <alignment vertical="center"/>
    </xf>
    <xf numFmtId="0" fontId="24" fillId="21" borderId="0" xfId="8" applyFont="1" applyFill="1" applyAlignment="1">
      <alignment vertical="center"/>
    </xf>
    <xf numFmtId="0" fontId="24" fillId="21" borderId="0" xfId="8" applyFont="1" applyFill="1" applyAlignment="1">
      <alignment horizontal="right" vertical="center"/>
    </xf>
    <xf numFmtId="0" fontId="37" fillId="21" borderId="0" xfId="8" applyFont="1" applyFill="1" applyAlignment="1">
      <alignment vertical="center"/>
    </xf>
    <xf numFmtId="0" fontId="39" fillId="21" borderId="0" xfId="0" applyFont="1" applyFill="1" applyAlignment="1">
      <alignment horizontal="left" vertical="center" wrapText="1"/>
    </xf>
    <xf numFmtId="0" fontId="38" fillId="21" borderId="0" xfId="0" applyFont="1" applyFill="1" applyAlignment="1">
      <alignment horizontal="right" vertical="center"/>
    </xf>
    <xf numFmtId="0" fontId="25" fillId="21" borderId="0" xfId="8" applyFont="1" applyFill="1" applyAlignment="1">
      <alignment vertical="center"/>
    </xf>
    <xf numFmtId="0" fontId="27" fillId="21" borderId="0" xfId="8" applyFont="1" applyFill="1" applyAlignment="1">
      <alignment vertical="center"/>
    </xf>
    <xf numFmtId="0" fontId="23" fillId="21" borderId="0" xfId="8" applyFont="1" applyFill="1" applyAlignment="1">
      <alignment horizontal="center" vertical="center"/>
    </xf>
    <xf numFmtId="0" fontId="44" fillId="21" borderId="0" xfId="8" applyFont="1" applyFill="1" applyAlignment="1">
      <alignment vertical="center" wrapText="1"/>
    </xf>
    <xf numFmtId="0" fontId="44" fillId="21" borderId="0" xfId="8" applyFont="1" applyFill="1" applyAlignment="1">
      <alignment vertical="center"/>
    </xf>
    <xf numFmtId="0" fontId="42" fillId="0" borderId="0" xfId="0" applyFont="1" applyAlignment="1">
      <alignment horizontal="left" vertical="center" wrapText="1"/>
    </xf>
    <xf numFmtId="0" fontId="24" fillId="0" borderId="74" xfId="0" applyFont="1" applyBorder="1" applyAlignment="1">
      <alignment horizontal="right" vertical="center" indent="1"/>
    </xf>
    <xf numFmtId="0" fontId="24" fillId="0" borderId="0" xfId="0" applyFont="1" applyAlignment="1">
      <alignment horizontal="center" vertical="center"/>
    </xf>
    <xf numFmtId="0" fontId="42" fillId="0" borderId="0" xfId="0" applyFont="1" applyAlignment="1">
      <alignment horizontal="left" vertical="center"/>
    </xf>
    <xf numFmtId="0" fontId="24" fillId="22" borderId="82" xfId="0" applyFont="1" applyFill="1" applyBorder="1" applyAlignment="1" applyProtection="1">
      <alignment vertical="center"/>
      <protection locked="0"/>
    </xf>
    <xf numFmtId="0" fontId="74" fillId="0" borderId="1" xfId="0" applyFont="1" applyBorder="1" applyAlignment="1">
      <alignment horizontal="right"/>
    </xf>
    <xf numFmtId="0" fontId="33" fillId="0" borderId="0" xfId="0" applyFont="1"/>
    <xf numFmtId="0" fontId="52" fillId="13" borderId="37" xfId="0" applyFont="1" applyFill="1" applyBorder="1" applyAlignment="1">
      <alignment vertical="center"/>
    </xf>
    <xf numFmtId="0" fontId="52" fillId="13" borderId="38" xfId="0" applyFont="1" applyFill="1" applyBorder="1" applyAlignment="1">
      <alignment vertical="center"/>
    </xf>
    <xf numFmtId="0" fontId="52" fillId="13" borderId="39" xfId="0" applyFont="1" applyFill="1" applyBorder="1" applyAlignment="1">
      <alignment vertical="center"/>
    </xf>
    <xf numFmtId="0" fontId="36" fillId="0" borderId="83" xfId="0" applyFont="1" applyBorder="1" applyAlignment="1">
      <alignment horizontal="left" vertical="center" wrapText="1"/>
    </xf>
    <xf numFmtId="0" fontId="33" fillId="0" borderId="84" xfId="0" applyFont="1" applyBorder="1" applyAlignment="1">
      <alignment vertical="center"/>
    </xf>
    <xf numFmtId="0" fontId="33" fillId="0" borderId="85" xfId="0" applyFont="1" applyBorder="1" applyAlignment="1">
      <alignment vertical="center"/>
    </xf>
    <xf numFmtId="0" fontId="36" fillId="0" borderId="76" xfId="0" applyFont="1" applyBorder="1" applyAlignment="1">
      <alignment horizontal="left" vertical="center" wrapText="1"/>
    </xf>
    <xf numFmtId="0" fontId="33" fillId="0" borderId="77" xfId="0" applyFont="1" applyBorder="1" applyAlignment="1">
      <alignment vertical="center"/>
    </xf>
    <xf numFmtId="0" fontId="33" fillId="0" borderId="77" xfId="0" applyFont="1" applyBorder="1" applyAlignment="1">
      <alignment vertical="center" wrapText="1"/>
    </xf>
    <xf numFmtId="0" fontId="33" fillId="0" borderId="78" xfId="0" applyFont="1" applyBorder="1" applyAlignment="1">
      <alignment vertical="center"/>
    </xf>
    <xf numFmtId="0" fontId="36" fillId="0" borderId="42" xfId="0" applyFont="1" applyBorder="1" applyAlignment="1">
      <alignment horizontal="left" vertical="center" wrapText="1"/>
    </xf>
    <xf numFmtId="0" fontId="33" fillId="0" borderId="43" xfId="0" applyFont="1" applyBorder="1" applyAlignment="1">
      <alignment vertical="center"/>
    </xf>
    <xf numFmtId="0" fontId="33" fillId="0" borderId="109" xfId="0" applyFont="1" applyBorder="1" applyAlignment="1">
      <alignment vertical="center"/>
    </xf>
    <xf numFmtId="0" fontId="56" fillId="13" borderId="146" xfId="0" applyFont="1" applyFill="1" applyBorder="1" applyAlignment="1">
      <alignment horizontal="left" vertical="center" wrapText="1"/>
    </xf>
    <xf numFmtId="0" fontId="52" fillId="13" borderId="147" xfId="0" applyFont="1" applyFill="1" applyBorder="1" applyAlignment="1">
      <alignment vertical="center"/>
    </xf>
    <xf numFmtId="0" fontId="52" fillId="13" borderId="148" xfId="0" applyFont="1" applyFill="1" applyBorder="1" applyAlignment="1">
      <alignment vertical="center"/>
    </xf>
    <xf numFmtId="0" fontId="36" fillId="0" borderId="41" xfId="0" applyFont="1" applyBorder="1" applyAlignment="1">
      <alignment horizontal="left" vertical="center" wrapText="1"/>
    </xf>
    <xf numFmtId="0" fontId="33" fillId="0" borderId="117" xfId="0" applyFont="1" applyBorder="1" applyAlignment="1">
      <alignment vertical="center"/>
    </xf>
    <xf numFmtId="0" fontId="33" fillId="0" borderId="106" xfId="0" applyFont="1" applyBorder="1" applyAlignment="1">
      <alignment vertical="center"/>
    </xf>
    <xf numFmtId="0" fontId="33" fillId="0" borderId="81" xfId="0" applyFont="1" applyBorder="1" applyAlignment="1">
      <alignment vertical="center"/>
    </xf>
    <xf numFmtId="0" fontId="33" fillId="0" borderId="82" xfId="0" applyFont="1" applyBorder="1" applyAlignment="1">
      <alignment vertical="center"/>
    </xf>
    <xf numFmtId="0" fontId="75" fillId="0" borderId="35" xfId="0" applyFont="1" applyBorder="1" applyAlignment="1">
      <alignment vertical="center" wrapText="1"/>
    </xf>
    <xf numFmtId="0" fontId="60" fillId="0" borderId="41" xfId="12" applyFont="1" applyBorder="1" applyAlignment="1">
      <alignment vertical="center"/>
    </xf>
    <xf numFmtId="0" fontId="60" fillId="0" borderId="117" xfId="12" applyFont="1" applyBorder="1" applyAlignment="1">
      <alignment vertical="center"/>
    </xf>
    <xf numFmtId="0" fontId="60" fillId="0" borderId="106" xfId="12" applyFont="1" applyBorder="1" applyAlignment="1">
      <alignment vertical="center"/>
    </xf>
    <xf numFmtId="0" fontId="77" fillId="0" borderId="83" xfId="12" applyFont="1" applyBorder="1" applyAlignment="1">
      <alignment horizontal="center" vertical="center"/>
    </xf>
    <xf numFmtId="0" fontId="77" fillId="0" borderId="76" xfId="12" applyFont="1" applyBorder="1" applyAlignment="1">
      <alignment horizontal="center" vertical="center"/>
    </xf>
    <xf numFmtId="0" fontId="77" fillId="0" borderId="35" xfId="12" applyFont="1" applyBorder="1" applyAlignment="1">
      <alignment horizontal="center" vertical="center"/>
    </xf>
    <xf numFmtId="0" fontId="80" fillId="0" borderId="141" xfId="0" applyFont="1" applyBorder="1" applyAlignment="1">
      <alignment vertical="center"/>
    </xf>
    <xf numFmtId="0" fontId="52" fillId="3" borderId="56" xfId="0" applyFont="1" applyFill="1" applyBorder="1" applyAlignment="1">
      <alignment vertical="center"/>
      <extLst>
        <ext xmlns:xfpb="http://schemas.microsoft.com/office/spreadsheetml/2022/featurepropertybag" uri="{C7286773-470A-42A8-94C5-96B5CB345126}">
          <xfpb:xfComplement i="0"/>
        </ext>
      </extLst>
    </xf>
    <xf numFmtId="0" fontId="70" fillId="26" borderId="0" xfId="0" applyFont="1" applyFill="1" applyAlignment="1">
      <alignment vertical="center"/>
    </xf>
    <xf numFmtId="0" fontId="73" fillId="26" borderId="0" xfId="0" applyFont="1" applyFill="1" applyAlignment="1">
      <alignment horizontal="right" vertical="center"/>
    </xf>
    <xf numFmtId="0" fontId="52" fillId="26" borderId="0" xfId="0" applyFont="1" applyFill="1" applyAlignment="1">
      <alignment vertical="center"/>
    </xf>
    <xf numFmtId="0" fontId="26" fillId="21" borderId="0" xfId="0" applyFont="1" applyFill="1" applyAlignment="1">
      <alignment vertical="center" wrapText="1"/>
    </xf>
    <xf numFmtId="0" fontId="26" fillId="21" borderId="0" xfId="0" applyFont="1" applyFill="1" applyAlignment="1">
      <alignment vertical="center"/>
    </xf>
    <xf numFmtId="0" fontId="42" fillId="0" borderId="0" xfId="0" applyFont="1" applyAlignment="1">
      <alignment vertical="center"/>
    </xf>
    <xf numFmtId="0" fontId="42" fillId="0" borderId="0" xfId="0" applyFont="1" applyAlignment="1">
      <alignment horizontal="right" vertical="center"/>
    </xf>
    <xf numFmtId="0" fontId="81" fillId="21" borderId="0" xfId="0" applyFont="1" applyFill="1" applyAlignment="1">
      <alignment horizontal="right" vertical="center"/>
    </xf>
    <xf numFmtId="0" fontId="82" fillId="21" borderId="0" xfId="0" applyFont="1" applyFill="1" applyAlignment="1">
      <alignment vertical="center" wrapText="1"/>
    </xf>
    <xf numFmtId="0" fontId="81" fillId="21" borderId="0" xfId="0" applyFont="1" applyFill="1" applyAlignment="1">
      <alignment vertical="center"/>
    </xf>
    <xf numFmtId="0" fontId="42" fillId="0" borderId="149" xfId="0" applyFont="1" applyBorder="1" applyAlignment="1">
      <alignment horizontal="justify" vertical="center" wrapText="1"/>
    </xf>
    <xf numFmtId="0" fontId="42" fillId="0" borderId="151" xfId="0" applyFont="1" applyBorder="1" applyAlignment="1">
      <alignment horizontal="justify" vertical="center" wrapText="1"/>
    </xf>
    <xf numFmtId="0" fontId="42" fillId="0" borderId="153" xfId="0" applyFont="1" applyBorder="1" applyAlignment="1">
      <alignment horizontal="justify" vertical="center" wrapText="1"/>
    </xf>
    <xf numFmtId="0" fontId="83" fillId="21" borderId="132" xfId="0" applyFont="1" applyFill="1" applyBorder="1" applyAlignment="1">
      <alignment vertical="center" wrapText="1"/>
    </xf>
    <xf numFmtId="0" fontId="84" fillId="21" borderId="132" xfId="0" applyFont="1" applyFill="1" applyBorder="1" applyAlignment="1">
      <alignment vertical="center" wrapText="1"/>
    </xf>
    <xf numFmtId="0" fontId="62" fillId="0" borderId="0" xfId="0" applyFont="1" applyAlignment="1">
      <alignment vertical="center"/>
    </xf>
    <xf numFmtId="0" fontId="47" fillId="0" borderId="0" xfId="0" applyFont="1" applyAlignment="1">
      <alignment horizontal="center" vertical="center"/>
      <extLst>
        <ext xmlns:xfpb="http://schemas.microsoft.com/office/spreadsheetml/2022/featurepropertybag" uri="{C7286773-470A-42A8-94C5-96B5CB345126}">
          <xfpb:xfComplement i="0"/>
        </ext>
      </extLst>
    </xf>
    <xf numFmtId="3" fontId="42" fillId="0" borderId="0" xfId="0" applyNumberFormat="1" applyFont="1" applyAlignment="1">
      <alignment vertical="center"/>
    </xf>
    <xf numFmtId="0" fontId="42" fillId="0" borderId="0" xfId="0" applyFont="1" applyAlignment="1">
      <alignment horizontal="right" vertical="center"/>
      <extLst>
        <ext xmlns:xfpb="http://schemas.microsoft.com/office/spreadsheetml/2022/featurepropertybag" uri="{C7286773-470A-42A8-94C5-96B5CB345126}">
          <xfpb:xfComplement i="0"/>
        </ext>
      </extLst>
    </xf>
    <xf numFmtId="0" fontId="38" fillId="0" borderId="0" xfId="0" applyFont="1" applyAlignment="1">
      <alignment vertical="center" wrapText="1"/>
    </xf>
    <xf numFmtId="0" fontId="64" fillId="21" borderId="41" xfId="0" applyFont="1" applyFill="1" applyBorder="1" applyAlignment="1">
      <alignment vertical="center" wrapText="1"/>
    </xf>
    <xf numFmtId="0" fontId="48" fillId="22" borderId="41" xfId="0" applyFont="1" applyFill="1" applyBorder="1" applyAlignment="1">
      <alignment vertical="center"/>
    </xf>
    <xf numFmtId="0" fontId="48" fillId="22" borderId="76" xfId="0" applyFont="1" applyFill="1" applyBorder="1" applyAlignment="1">
      <alignment vertical="center"/>
    </xf>
    <xf numFmtId="49" fontId="33" fillId="22" borderId="106" xfId="0" applyNumberFormat="1" applyFont="1" applyFill="1" applyBorder="1" applyAlignment="1" applyProtection="1">
      <alignment horizontal="left" vertical="center"/>
      <protection locked="0"/>
    </xf>
    <xf numFmtId="49" fontId="85" fillId="22" borderId="106" xfId="7" applyNumberFormat="1" applyFont="1" applyFill="1" applyBorder="1" applyAlignment="1" applyProtection="1">
      <alignment horizontal="left" vertical="center"/>
      <protection locked="0"/>
    </xf>
    <xf numFmtId="0" fontId="33" fillId="22" borderId="78" xfId="7" applyNumberFormat="1" applyFont="1" applyFill="1" applyBorder="1" applyAlignment="1" applyProtection="1">
      <alignment horizontal="left" vertical="center"/>
      <protection locked="0"/>
    </xf>
    <xf numFmtId="0" fontId="33" fillId="22" borderId="78" xfId="0" applyFont="1" applyFill="1" applyBorder="1" applyAlignment="1" applyProtection="1">
      <alignment horizontal="left" vertical="center"/>
      <protection locked="0"/>
    </xf>
    <xf numFmtId="0" fontId="48" fillId="22" borderId="80" xfId="0" applyFont="1" applyFill="1" applyBorder="1" applyAlignment="1">
      <alignment vertical="center"/>
    </xf>
    <xf numFmtId="0" fontId="25" fillId="21" borderId="80" xfId="0" applyFont="1" applyFill="1" applyBorder="1" applyAlignment="1">
      <alignment horizontal="left" vertical="center"/>
    </xf>
    <xf numFmtId="49" fontId="43" fillId="22" borderId="82" xfId="7" applyNumberFormat="1" applyFont="1" applyFill="1" applyBorder="1" applyAlignment="1" applyProtection="1">
      <alignment horizontal="left" vertical="center"/>
      <protection locked="0"/>
    </xf>
    <xf numFmtId="49" fontId="33" fillId="22" borderId="155" xfId="0" applyNumberFormat="1" applyFont="1" applyFill="1" applyBorder="1" applyAlignment="1" applyProtection="1">
      <alignment horizontal="left" vertical="center" wrapText="1"/>
      <protection locked="0"/>
    </xf>
    <xf numFmtId="49" fontId="33" fillId="22" borderId="145" xfId="0" applyNumberFormat="1" applyFont="1" applyFill="1" applyBorder="1" applyAlignment="1" applyProtection="1">
      <alignment horizontal="left" vertical="center"/>
      <protection locked="0"/>
    </xf>
    <xf numFmtId="49" fontId="33" fillId="22" borderId="156" xfId="0" applyNumberFormat="1" applyFont="1" applyFill="1" applyBorder="1" applyAlignment="1" applyProtection="1">
      <alignment horizontal="left" vertical="center"/>
      <protection locked="0"/>
    </xf>
    <xf numFmtId="0" fontId="48" fillId="21" borderId="140" xfId="0" applyFont="1" applyFill="1" applyBorder="1" applyAlignment="1">
      <alignment horizontal="left" vertical="center" wrapText="1"/>
    </xf>
    <xf numFmtId="0" fontId="48" fillId="21" borderId="80" xfId="0" applyFont="1" applyFill="1" applyBorder="1" applyAlignment="1">
      <alignment horizontal="left" vertical="center" wrapText="1"/>
    </xf>
    <xf numFmtId="0" fontId="60" fillId="0" borderId="84" xfId="0" applyFont="1" applyBorder="1" applyAlignment="1">
      <alignment horizontal="center" vertical="center"/>
    </xf>
    <xf numFmtId="0" fontId="60" fillId="0" borderId="85" xfId="0" applyFont="1" applyBorder="1" applyAlignment="1">
      <alignment horizontal="center" vertical="center"/>
    </xf>
    <xf numFmtId="0" fontId="60" fillId="0" borderId="77" xfId="0" applyFont="1" applyBorder="1" applyAlignment="1">
      <alignment horizontal="center" vertical="center"/>
    </xf>
    <xf numFmtId="0" fontId="60" fillId="0" borderId="78" xfId="0" applyFont="1" applyBorder="1" applyAlignment="1">
      <alignment horizontal="center" vertical="center"/>
    </xf>
    <xf numFmtId="0" fontId="60" fillId="0" borderId="40" xfId="0" applyFont="1" applyBorder="1" applyAlignment="1">
      <alignment horizontal="center" vertical="center"/>
    </xf>
    <xf numFmtId="0" fontId="60" fillId="0" borderId="36" xfId="0" applyFont="1" applyBorder="1" applyAlignment="1">
      <alignment horizontal="center" vertical="center"/>
    </xf>
    <xf numFmtId="3" fontId="24" fillId="22" borderId="157" xfId="0" applyNumberFormat="1" applyFont="1" applyFill="1" applyBorder="1" applyAlignment="1" applyProtection="1">
      <alignment vertical="center"/>
      <protection locked="0"/>
    </xf>
    <xf numFmtId="0" fontId="26" fillId="21" borderId="158" xfId="0" applyFont="1" applyFill="1" applyBorder="1" applyAlignment="1" applyProtection="1">
      <alignment horizontal="right" vertical="center"/>
      <protection locked="0"/>
    </xf>
    <xf numFmtId="0" fontId="24" fillId="22" borderId="54" xfId="0" applyFont="1" applyFill="1" applyBorder="1" applyAlignment="1" applyProtection="1">
      <alignment vertical="center" wrapText="1"/>
      <protection locked="0"/>
    </xf>
    <xf numFmtId="0" fontId="24" fillId="22" borderId="109" xfId="0" applyFont="1" applyFill="1" applyBorder="1" applyAlignment="1" applyProtection="1">
      <alignment vertical="center" wrapText="1"/>
      <protection locked="0"/>
    </xf>
    <xf numFmtId="0" fontId="14" fillId="20" borderId="102" xfId="0" applyFont="1" applyFill="1" applyBorder="1" applyAlignment="1">
      <alignment vertical="center"/>
    </xf>
    <xf numFmtId="0" fontId="14" fillId="20" borderId="103" xfId="0" applyFont="1" applyFill="1" applyBorder="1" applyAlignment="1">
      <alignment horizontal="center" vertical="center"/>
    </xf>
    <xf numFmtId="0" fontId="14" fillId="25" borderId="131" xfId="0" applyFont="1" applyFill="1" applyBorder="1" applyAlignment="1">
      <alignment vertical="center"/>
    </xf>
    <xf numFmtId="0" fontId="14" fillId="25" borderId="131" xfId="0" applyFont="1" applyFill="1" applyBorder="1" applyAlignment="1">
      <alignment horizontal="center" vertical="center"/>
    </xf>
    <xf numFmtId="0" fontId="15" fillId="0" borderId="97" xfId="0" applyFont="1" applyBorder="1" applyAlignment="1">
      <alignment vertical="center" wrapText="1"/>
    </xf>
    <xf numFmtId="0" fontId="15" fillId="0" borderId="134" xfId="0" applyFont="1" applyBorder="1" applyAlignment="1">
      <alignment vertical="center" wrapText="1"/>
    </xf>
    <xf numFmtId="0" fontId="15" fillId="0" borderId="130" xfId="0" applyFont="1" applyBorder="1" applyAlignment="1">
      <alignment vertical="center" wrapText="1"/>
    </xf>
    <xf numFmtId="0" fontId="15" fillId="0" borderId="53" xfId="0" applyFont="1" applyBorder="1" applyAlignment="1">
      <alignment vertical="center" wrapText="1"/>
    </xf>
    <xf numFmtId="0" fontId="15" fillId="0" borderId="76" xfId="0" applyFont="1" applyBorder="1" applyAlignment="1">
      <alignment vertical="center" wrapText="1"/>
    </xf>
    <xf numFmtId="0" fontId="15" fillId="0" borderId="94" xfId="0" applyFont="1" applyBorder="1" applyAlignment="1">
      <alignment vertical="center" wrapText="1"/>
    </xf>
    <xf numFmtId="1" fontId="77" fillId="22" borderId="163" xfId="3" applyNumberFormat="1" applyFont="1" applyFill="1" applyBorder="1" applyAlignment="1">
      <alignment horizontal="center" vertical="center" wrapText="1"/>
    </xf>
    <xf numFmtId="0" fontId="77" fillId="22" borderId="163" xfId="3" applyFont="1" applyFill="1" applyBorder="1" applyAlignment="1">
      <alignment horizontal="left" vertical="center" wrapText="1"/>
    </xf>
    <xf numFmtId="1" fontId="77" fillId="22" borderId="164" xfId="3" applyNumberFormat="1" applyFont="1" applyFill="1" applyBorder="1" applyAlignment="1">
      <alignment horizontal="center" vertical="center" wrapText="1"/>
    </xf>
    <xf numFmtId="0" fontId="77" fillId="22" borderId="164" xfId="3" applyFont="1" applyFill="1" applyBorder="1" applyAlignment="1">
      <alignment horizontal="left" vertical="center" wrapText="1"/>
    </xf>
    <xf numFmtId="1" fontId="77" fillId="22" borderId="165" xfId="3" applyNumberFormat="1" applyFont="1" applyFill="1" applyBorder="1" applyAlignment="1">
      <alignment horizontal="center" vertical="center" wrapText="1"/>
    </xf>
    <xf numFmtId="0" fontId="77" fillId="22" borderId="165" xfId="3" applyFont="1" applyFill="1" applyBorder="1" applyAlignment="1">
      <alignment horizontal="left" vertical="center" wrapText="1"/>
    </xf>
    <xf numFmtId="1" fontId="77" fillId="22" borderId="121" xfId="3" applyNumberFormat="1" applyFont="1" applyFill="1" applyBorder="1" applyAlignment="1">
      <alignment horizontal="center" vertical="center" wrapText="1"/>
    </xf>
    <xf numFmtId="1" fontId="77" fillId="22" borderId="122" xfId="3" applyNumberFormat="1" applyFont="1" applyFill="1" applyBorder="1" applyAlignment="1">
      <alignment horizontal="center" vertical="center" wrapText="1"/>
    </xf>
    <xf numFmtId="0" fontId="77" fillId="22" borderId="123" xfId="3" applyFont="1" applyFill="1" applyBorder="1" applyAlignment="1">
      <alignment horizontal="left" vertical="center" wrapText="1"/>
    </xf>
    <xf numFmtId="0" fontId="77" fillId="22" borderId="124" xfId="3" applyFont="1" applyFill="1" applyBorder="1" applyAlignment="1">
      <alignment horizontal="left" vertical="center" wrapText="1"/>
    </xf>
    <xf numFmtId="1" fontId="77" fillId="27" borderId="166" xfId="3" applyNumberFormat="1" applyFont="1" applyFill="1" applyBorder="1" applyAlignment="1">
      <alignment horizontal="center" vertical="center" wrapText="1"/>
    </xf>
    <xf numFmtId="0" fontId="77" fillId="27" borderId="166" xfId="3" applyFont="1" applyFill="1" applyBorder="1" applyAlignment="1">
      <alignment horizontal="left" vertical="center" wrapText="1"/>
    </xf>
    <xf numFmtId="1" fontId="77" fillId="27" borderId="164" xfId="3" applyNumberFormat="1" applyFont="1" applyFill="1" applyBorder="1" applyAlignment="1">
      <alignment horizontal="center" vertical="center" wrapText="1"/>
    </xf>
    <xf numFmtId="0" fontId="77" fillId="27" borderId="164" xfId="3" applyFont="1" applyFill="1" applyBorder="1" applyAlignment="1">
      <alignment horizontal="left" vertical="center" wrapText="1"/>
    </xf>
    <xf numFmtId="1" fontId="77" fillId="27" borderId="167" xfId="3" applyNumberFormat="1" applyFont="1" applyFill="1" applyBorder="1" applyAlignment="1">
      <alignment horizontal="center" vertical="center" wrapText="1"/>
    </xf>
    <xf numFmtId="0" fontId="77" fillId="27" borderId="167" xfId="3" applyFont="1" applyFill="1" applyBorder="1" applyAlignment="1">
      <alignment horizontal="left" vertical="center" wrapText="1"/>
    </xf>
    <xf numFmtId="1" fontId="77" fillId="27" borderId="125" xfId="3" applyNumberFormat="1" applyFont="1" applyFill="1" applyBorder="1" applyAlignment="1">
      <alignment horizontal="center" vertical="center" wrapText="1"/>
    </xf>
    <xf numFmtId="0" fontId="77" fillId="27" borderId="126" xfId="3" applyFont="1" applyFill="1" applyBorder="1" applyAlignment="1">
      <alignment horizontal="left" vertical="center" wrapText="1"/>
    </xf>
    <xf numFmtId="1" fontId="77" fillId="27" borderId="122" xfId="3" applyNumberFormat="1" applyFont="1" applyFill="1" applyBorder="1" applyAlignment="1">
      <alignment horizontal="center" vertical="center" wrapText="1"/>
    </xf>
    <xf numFmtId="0" fontId="77" fillId="27" borderId="123" xfId="3" applyFont="1" applyFill="1" applyBorder="1" applyAlignment="1">
      <alignment horizontal="left" vertical="center" wrapText="1"/>
    </xf>
    <xf numFmtId="1" fontId="77" fillId="27" borderId="127" xfId="3" applyNumberFormat="1" applyFont="1" applyFill="1" applyBorder="1" applyAlignment="1">
      <alignment horizontal="center" vertical="center" wrapText="1"/>
    </xf>
    <xf numFmtId="0" fontId="77" fillId="27" borderId="128" xfId="3" applyFont="1" applyFill="1" applyBorder="1" applyAlignment="1">
      <alignment horizontal="left" vertical="center" wrapText="1"/>
    </xf>
    <xf numFmtId="0" fontId="76" fillId="23" borderId="37" xfId="12" applyFont="1" applyFill="1" applyBorder="1" applyAlignment="1">
      <alignment vertical="center"/>
    </xf>
    <xf numFmtId="0" fontId="76" fillId="23" borderId="38" xfId="12" applyFont="1" applyFill="1" applyBorder="1" applyAlignment="1">
      <alignment vertical="center"/>
    </xf>
    <xf numFmtId="0" fontId="76" fillId="23" borderId="39" xfId="12" applyFont="1" applyFill="1" applyBorder="1" applyAlignment="1">
      <alignment vertical="center" wrapText="1"/>
    </xf>
    <xf numFmtId="0" fontId="71" fillId="23" borderId="37" xfId="12" applyFont="1" applyFill="1" applyBorder="1" applyAlignment="1">
      <alignment horizontal="center" vertical="center"/>
    </xf>
    <xf numFmtId="0" fontId="71" fillId="23" borderId="59" xfId="12" applyFont="1" applyFill="1" applyBorder="1" applyAlignment="1">
      <alignment horizontal="center" vertical="center"/>
    </xf>
    <xf numFmtId="0" fontId="71" fillId="23" borderId="38" xfId="12" applyFont="1" applyFill="1" applyBorder="1" applyAlignment="1">
      <alignment horizontal="center" vertical="center"/>
    </xf>
    <xf numFmtId="0" fontId="71" fillId="23" borderId="39" xfId="12" applyFont="1" applyFill="1" applyBorder="1" applyAlignment="1">
      <alignment vertical="center"/>
    </xf>
    <xf numFmtId="0" fontId="76" fillId="23" borderId="51" xfId="0" applyFont="1" applyFill="1" applyBorder="1" applyAlignment="1">
      <alignment vertical="center" wrapText="1"/>
    </xf>
    <xf numFmtId="0" fontId="76" fillId="23" borderId="73" xfId="0" applyFont="1" applyFill="1" applyBorder="1" applyAlignment="1">
      <alignment vertical="center" wrapText="1"/>
    </xf>
    <xf numFmtId="0" fontId="76" fillId="23" borderId="52" xfId="0" applyFont="1" applyFill="1" applyBorder="1" applyAlignment="1">
      <alignment vertical="center" wrapText="1"/>
    </xf>
    <xf numFmtId="0" fontId="76" fillId="23" borderId="162" xfId="3" applyFont="1" applyFill="1" applyBorder="1" applyAlignment="1">
      <alignment horizontal="left" vertical="center"/>
    </xf>
    <xf numFmtId="0" fontId="76" fillId="23" borderId="120" xfId="3" applyFont="1" applyFill="1" applyBorder="1" applyAlignment="1">
      <alignment horizontal="left" vertical="center"/>
    </xf>
    <xf numFmtId="0" fontId="76" fillId="23" borderId="168" xfId="3" applyFont="1" applyFill="1" applyBorder="1" applyAlignment="1">
      <alignment horizontal="left" vertical="center"/>
    </xf>
    <xf numFmtId="0" fontId="71" fillId="23" borderId="39" xfId="12" applyFont="1" applyFill="1" applyBorder="1" applyAlignment="1">
      <alignment horizontal="center" vertical="center"/>
    </xf>
    <xf numFmtId="0" fontId="71" fillId="23" borderId="60" xfId="12" applyFont="1" applyFill="1" applyBorder="1" applyAlignment="1">
      <alignment horizontal="center" vertical="center"/>
    </xf>
    <xf numFmtId="0" fontId="71" fillId="23" borderId="62" xfId="12" applyFont="1" applyFill="1" applyBorder="1" applyAlignment="1">
      <alignment horizontal="center" vertical="center"/>
    </xf>
    <xf numFmtId="0" fontId="78" fillId="10" borderId="58" xfId="12" applyFont="1" applyFill="1" applyBorder="1" applyAlignment="1">
      <alignment vertical="center"/>
    </xf>
    <xf numFmtId="0" fontId="76" fillId="23" borderId="2" xfId="0" applyFont="1" applyFill="1" applyBorder="1" applyAlignment="1">
      <alignment horizontal="left" vertical="center" wrapText="1"/>
    </xf>
    <xf numFmtId="0" fontId="76" fillId="23" borderId="79" xfId="0" applyFont="1" applyFill="1" applyBorder="1" applyAlignment="1">
      <alignment horizontal="left" vertical="center" wrapText="1"/>
    </xf>
    <xf numFmtId="0" fontId="76" fillId="23" borderId="3" xfId="0" applyFont="1" applyFill="1" applyBorder="1" applyAlignment="1">
      <alignment horizontal="left" vertical="center" wrapText="1"/>
    </xf>
    <xf numFmtId="0" fontId="76" fillId="23" borderId="37" xfId="0" applyFont="1" applyFill="1" applyBorder="1" applyAlignment="1">
      <alignment vertical="center" wrapText="1"/>
    </xf>
    <xf numFmtId="0" fontId="76" fillId="23" borderId="38" xfId="0" applyFont="1" applyFill="1" applyBorder="1" applyAlignment="1">
      <alignment vertical="center" wrapText="1"/>
    </xf>
    <xf numFmtId="0" fontId="76" fillId="23" borderId="34" xfId="0" applyFont="1" applyFill="1" applyBorder="1" applyAlignment="1">
      <alignment vertical="center" wrapText="1"/>
    </xf>
    <xf numFmtId="0" fontId="76" fillId="23" borderId="88" xfId="0" applyFont="1" applyFill="1" applyBorder="1" applyAlignment="1">
      <alignment horizontal="center" vertical="center" wrapText="1"/>
    </xf>
    <xf numFmtId="0" fontId="79" fillId="23" borderId="141" xfId="0" applyFont="1" applyFill="1" applyBorder="1" applyAlignment="1">
      <alignment vertical="center" wrapText="1"/>
    </xf>
    <xf numFmtId="0" fontId="76" fillId="23" borderId="39" xfId="0" applyFont="1" applyFill="1" applyBorder="1" applyAlignment="1">
      <alignment vertical="center" wrapText="1"/>
    </xf>
    <xf numFmtId="0" fontId="24" fillId="21" borderId="1" xfId="8" applyFont="1" applyFill="1" applyBorder="1" applyAlignment="1">
      <alignment vertical="center"/>
    </xf>
    <xf numFmtId="0" fontId="38" fillId="21" borderId="1" xfId="8" applyFont="1" applyFill="1" applyBorder="1" applyAlignment="1">
      <alignment vertical="top"/>
    </xf>
    <xf numFmtId="0" fontId="42" fillId="9" borderId="44" xfId="10" applyFont="1" applyFill="1" applyBorder="1" applyAlignment="1">
      <alignment horizontal="center" vertical="center"/>
    </xf>
    <xf numFmtId="0" fontId="42" fillId="9" borderId="169" xfId="10" applyFont="1" applyFill="1" applyBorder="1" applyAlignment="1">
      <alignment horizontal="center" vertical="center"/>
    </xf>
    <xf numFmtId="0" fontId="42" fillId="9" borderId="45" xfId="10" applyFont="1" applyFill="1" applyBorder="1" applyAlignment="1">
      <alignment vertical="center"/>
    </xf>
    <xf numFmtId="0" fontId="25" fillId="21" borderId="170" xfId="0" applyFont="1" applyFill="1" applyBorder="1" applyAlignment="1">
      <alignment vertical="center"/>
    </xf>
    <xf numFmtId="49" fontId="33" fillId="22" borderId="138" xfId="0" applyNumberFormat="1" applyFont="1" applyFill="1" applyBorder="1" applyAlignment="1" applyProtection="1">
      <alignment horizontal="left" vertical="center"/>
      <protection locked="0"/>
    </xf>
    <xf numFmtId="0" fontId="27" fillId="0" borderId="0" xfId="0" applyFont="1" applyAlignment="1">
      <alignment vertical="center"/>
    </xf>
    <xf numFmtId="0" fontId="74" fillId="0" borderId="0" xfId="0" applyFont="1" applyAlignment="1">
      <alignment horizontal="right"/>
    </xf>
    <xf numFmtId="14" fontId="74" fillId="0" borderId="0" xfId="0" applyNumberFormat="1" applyFont="1"/>
    <xf numFmtId="0" fontId="27" fillId="0" borderId="0" xfId="0" applyFont="1" applyAlignment="1">
      <alignment vertical="center" wrapText="1"/>
    </xf>
    <xf numFmtId="0" fontId="32" fillId="0" borderId="0" xfId="9" applyFont="1" applyAlignment="1">
      <alignment vertical="center"/>
    </xf>
    <xf numFmtId="0" fontId="24" fillId="0" borderId="0" xfId="0" applyFont="1" applyAlignment="1">
      <alignment horizontal="left" vertical="top" wrapText="1"/>
    </xf>
    <xf numFmtId="0" fontId="47" fillId="0" borderId="0" xfId="0" applyFont="1" applyAlignment="1">
      <alignment horizontal="left" vertical="center" wrapText="1"/>
    </xf>
    <xf numFmtId="0" fontId="78" fillId="0" borderId="0" xfId="0" applyFont="1" applyAlignment="1">
      <alignment vertical="center" wrapText="1"/>
    </xf>
    <xf numFmtId="0" fontId="78" fillId="0" borderId="0" xfId="0" applyFont="1" applyAlignment="1">
      <alignment horizontal="right" vertical="center" wrapText="1"/>
    </xf>
    <xf numFmtId="0" fontId="78" fillId="0" borderId="0" xfId="0" applyFont="1" applyAlignment="1">
      <alignment horizontal="right" vertical="center"/>
    </xf>
    <xf numFmtId="0" fontId="87" fillId="22" borderId="155" xfId="7" applyNumberFormat="1" applyFont="1" applyFill="1" applyBorder="1" applyAlignment="1" applyProtection="1">
      <alignment horizontal="left" vertical="center" wrapText="1"/>
      <protection locked="0"/>
    </xf>
    <xf numFmtId="0" fontId="87" fillId="0" borderId="0" xfId="0" applyFont="1"/>
    <xf numFmtId="0" fontId="36" fillId="3" borderId="0" xfId="0" applyFont="1" applyFill="1" applyAlignment="1">
      <alignment horizontal="left" vertical="top"/>
    </xf>
    <xf numFmtId="0" fontId="24" fillId="0" borderId="0" xfId="0" applyFont="1" applyAlignment="1">
      <alignment horizontal="left" vertical="top"/>
    </xf>
    <xf numFmtId="0" fontId="24" fillId="0" borderId="0" xfId="0" applyFont="1" applyAlignment="1" applyProtection="1">
      <alignment vertical="center"/>
      <protection locked="0"/>
    </xf>
    <xf numFmtId="0" fontId="56" fillId="3" borderId="56" xfId="0" applyFont="1" applyFill="1" applyBorder="1" applyAlignment="1" applyProtection="1">
      <alignment vertical="center"/>
      <protection locked="0"/>
    </xf>
    <xf numFmtId="0" fontId="26" fillId="0" borderId="0" xfId="0" applyFont="1" applyAlignment="1" applyProtection="1">
      <alignment vertical="center"/>
      <protection locked="0"/>
    </xf>
    <xf numFmtId="14" fontId="53" fillId="0" borderId="1" xfId="0" applyNumberFormat="1" applyFont="1" applyBorder="1" applyAlignment="1">
      <alignment horizontal="right"/>
    </xf>
    <xf numFmtId="0" fontId="55" fillId="23" borderId="2" xfId="0" applyFont="1" applyFill="1" applyBorder="1" applyAlignment="1">
      <alignment vertical="center"/>
    </xf>
    <xf numFmtId="0" fontId="52" fillId="23" borderId="3" xfId="0" applyFont="1" applyFill="1" applyBorder="1" applyAlignment="1">
      <alignment vertical="center" wrapText="1"/>
    </xf>
    <xf numFmtId="0" fontId="25" fillId="3" borderId="4" xfId="0" applyFont="1" applyFill="1" applyBorder="1" applyAlignment="1">
      <alignment horizontal="center" vertical="center" wrapText="1"/>
    </xf>
    <xf numFmtId="0" fontId="24" fillId="3" borderId="83" xfId="0" applyFont="1" applyFill="1" applyBorder="1" applyAlignment="1">
      <alignment horizontal="right" vertical="center"/>
    </xf>
    <xf numFmtId="0" fontId="24" fillId="3" borderId="76" xfId="0" applyFont="1" applyFill="1" applyBorder="1" applyAlignment="1">
      <alignment horizontal="right" vertical="center"/>
    </xf>
    <xf numFmtId="0" fontId="24" fillId="3" borderId="94" xfId="0" applyFont="1" applyFill="1" applyBorder="1" applyAlignment="1">
      <alignment horizontal="right" vertical="center"/>
    </xf>
    <xf numFmtId="0" fontId="24" fillId="21" borderId="119" xfId="0" applyFont="1" applyFill="1" applyBorder="1" applyAlignment="1">
      <alignment horizontal="right" vertical="center"/>
    </xf>
    <xf numFmtId="0" fontId="55" fillId="23" borderId="30" xfId="0" applyFont="1" applyFill="1" applyBorder="1" applyAlignment="1">
      <alignment vertical="center"/>
    </xf>
    <xf numFmtId="0" fontId="57" fillId="23" borderId="31" xfId="0" applyFont="1" applyFill="1" applyBorder="1" applyAlignment="1">
      <alignment vertical="center"/>
    </xf>
    <xf numFmtId="0" fontId="25" fillId="3" borderId="4" xfId="0" applyFont="1" applyFill="1" applyBorder="1" applyAlignment="1">
      <alignment vertical="center"/>
    </xf>
    <xf numFmtId="0" fontId="24" fillId="3" borderId="5" xfId="0" applyFont="1" applyFill="1" applyBorder="1" applyAlignment="1">
      <alignment vertical="center"/>
    </xf>
    <xf numFmtId="0" fontId="24" fillId="3" borderId="5" xfId="0" applyFont="1" applyFill="1" applyBorder="1" applyAlignment="1">
      <alignment horizontal="center" vertical="center" wrapText="1"/>
    </xf>
    <xf numFmtId="0" fontId="58" fillId="23" borderId="30" xfId="0" applyFont="1" applyFill="1" applyBorder="1" applyAlignment="1">
      <alignment vertical="center"/>
    </xf>
    <xf numFmtId="0" fontId="58" fillId="23" borderId="39" xfId="0" applyFont="1" applyFill="1" applyBorder="1" applyAlignment="1">
      <alignment horizontal="right" vertical="center"/>
    </xf>
    <xf numFmtId="0" fontId="58" fillId="24" borderId="28" xfId="0" applyFont="1" applyFill="1" applyBorder="1" applyAlignment="1">
      <alignment vertical="center" wrapText="1"/>
    </xf>
    <xf numFmtId="0" fontId="58" fillId="24" borderId="116" xfId="0" applyFont="1" applyFill="1" applyBorder="1" applyAlignment="1">
      <alignment vertical="center" wrapText="1"/>
    </xf>
    <xf numFmtId="0" fontId="25" fillId="21" borderId="7" xfId="0" applyFont="1" applyFill="1" applyBorder="1" applyAlignment="1">
      <alignment vertical="center" wrapText="1"/>
    </xf>
    <xf numFmtId="0" fontId="25" fillId="21" borderId="100" xfId="0" applyFont="1" applyFill="1" applyBorder="1" applyAlignment="1">
      <alignment vertical="center" wrapText="1"/>
    </xf>
    <xf numFmtId="0" fontId="26" fillId="3" borderId="97" xfId="0" applyFont="1" applyFill="1" applyBorder="1" applyAlignment="1">
      <alignment horizontal="left" vertical="center" wrapText="1"/>
    </xf>
    <xf numFmtId="0" fontId="26" fillId="3" borderId="134" xfId="0" applyFont="1" applyFill="1" applyBorder="1" applyAlignment="1">
      <alignment horizontal="left" vertical="center" wrapText="1"/>
    </xf>
    <xf numFmtId="0" fontId="26" fillId="3" borderId="130" xfId="0" applyFont="1" applyFill="1" applyBorder="1" applyAlignment="1">
      <alignment horizontal="left" vertical="center" wrapText="1"/>
    </xf>
    <xf numFmtId="0" fontId="26" fillId="3" borderId="7" xfId="0" applyFont="1" applyFill="1" applyBorder="1" applyAlignment="1">
      <alignment horizontal="left" vertical="center" wrapText="1"/>
    </xf>
    <xf numFmtId="0" fontId="26" fillId="3" borderId="13" xfId="0" applyFont="1" applyFill="1" applyBorder="1" applyAlignment="1">
      <alignment horizontal="left" vertical="center" wrapText="1"/>
    </xf>
    <xf numFmtId="0" fontId="58" fillId="24" borderId="6" xfId="0" applyFont="1" applyFill="1" applyBorder="1" applyAlignment="1">
      <alignment vertical="center" wrapText="1"/>
    </xf>
    <xf numFmtId="0" fontId="58" fillId="24" borderId="105" xfId="0" applyFont="1" applyFill="1" applyBorder="1" applyAlignment="1">
      <alignment vertical="center" wrapText="1"/>
    </xf>
    <xf numFmtId="0" fontId="36" fillId="3" borderId="134" xfId="0" applyFont="1" applyFill="1" applyBorder="1" applyAlignment="1">
      <alignment horizontal="left" vertical="center" wrapText="1"/>
    </xf>
    <xf numFmtId="0" fontId="36" fillId="3" borderId="130" xfId="0" applyFont="1" applyFill="1" applyBorder="1" applyAlignment="1">
      <alignment horizontal="left" vertical="center" wrapText="1"/>
    </xf>
    <xf numFmtId="0" fontId="26" fillId="3" borderId="137" xfId="0" applyFont="1" applyFill="1" applyBorder="1" applyAlignment="1">
      <alignment horizontal="left" vertical="center" wrapText="1"/>
    </xf>
    <xf numFmtId="0" fontId="48" fillId="21" borderId="7" xfId="0" applyFont="1" applyFill="1" applyBorder="1" applyAlignment="1">
      <alignment vertical="center" wrapText="1"/>
    </xf>
    <xf numFmtId="0" fontId="48" fillId="21" borderId="100" xfId="0" applyFont="1" applyFill="1" applyBorder="1" applyAlignment="1">
      <alignment vertical="center" wrapText="1"/>
    </xf>
    <xf numFmtId="0" fontId="36" fillId="3" borderId="13" xfId="0" applyFont="1" applyFill="1" applyBorder="1" applyAlignment="1">
      <alignment horizontal="left" vertical="center" wrapText="1"/>
    </xf>
    <xf numFmtId="0" fontId="33" fillId="3" borderId="137" xfId="0" applyFont="1" applyFill="1" applyBorder="1" applyAlignment="1">
      <alignment horizontal="left" vertical="center" wrapText="1"/>
    </xf>
    <xf numFmtId="0" fontId="32" fillId="23" borderId="39" xfId="0" applyFont="1" applyFill="1" applyBorder="1" applyAlignment="1">
      <alignment horizontal="right" vertical="center"/>
    </xf>
    <xf numFmtId="0" fontId="25" fillId="21" borderId="100" xfId="0" applyFont="1" applyFill="1" applyBorder="1" applyAlignment="1">
      <alignment horizontal="right" vertical="center" wrapText="1"/>
    </xf>
    <xf numFmtId="0" fontId="25" fillId="25" borderId="139" xfId="0" applyFont="1" applyFill="1" applyBorder="1" applyAlignment="1">
      <alignment vertical="center" wrapText="1"/>
    </xf>
    <xf numFmtId="0" fontId="25" fillId="21" borderId="8" xfId="0" applyFont="1" applyFill="1" applyBorder="1" applyAlignment="1">
      <alignment horizontal="right" vertical="center" wrapText="1"/>
    </xf>
    <xf numFmtId="0" fontId="25" fillId="21" borderId="138" xfId="0" applyFont="1" applyFill="1" applyBorder="1" applyAlignment="1">
      <alignment vertical="center"/>
    </xf>
    <xf numFmtId="0" fontId="55" fillId="24" borderId="30" xfId="0" applyFont="1" applyFill="1" applyBorder="1" applyAlignment="1">
      <alignment vertical="center"/>
    </xf>
    <xf numFmtId="0" fontId="55" fillId="24" borderId="31" xfId="0" applyFont="1" applyFill="1" applyBorder="1" applyAlignment="1">
      <alignment vertical="center"/>
    </xf>
    <xf numFmtId="0" fontId="24" fillId="0" borderId="53" xfId="0" applyFont="1" applyBorder="1" applyAlignment="1">
      <alignment horizontal="left" vertical="center" wrapText="1"/>
    </xf>
    <xf numFmtId="0" fontId="24" fillId="0" borderId="76" xfId="0" applyFont="1" applyBorder="1" applyAlignment="1">
      <alignment horizontal="left" vertical="center" wrapText="1"/>
    </xf>
    <xf numFmtId="0" fontId="24" fillId="0" borderId="107" xfId="0" applyFont="1" applyBorder="1" applyAlignment="1">
      <alignment horizontal="left" vertical="center" wrapText="1"/>
    </xf>
    <xf numFmtId="0" fontId="24" fillId="3" borderId="4" xfId="0" applyFont="1" applyFill="1" applyBorder="1" applyAlignment="1">
      <alignment vertical="center"/>
    </xf>
    <xf numFmtId="0" fontId="24" fillId="3" borderId="53" xfId="0" applyFont="1" applyFill="1" applyBorder="1" applyAlignment="1">
      <alignment vertical="center" wrapText="1"/>
    </xf>
    <xf numFmtId="0" fontId="24" fillId="3" borderId="35" xfId="0" applyFont="1" applyFill="1" applyBorder="1" applyAlignment="1">
      <alignment vertical="center" wrapText="1"/>
    </xf>
    <xf numFmtId="0" fontId="30" fillId="3" borderId="8" xfId="0" applyFont="1" applyFill="1" applyBorder="1" applyAlignment="1">
      <alignment vertical="center"/>
    </xf>
    <xf numFmtId="0" fontId="30" fillId="3" borderId="9" xfId="0" applyFont="1" applyFill="1" applyBorder="1" applyAlignment="1">
      <alignment vertical="center"/>
    </xf>
    <xf numFmtId="0" fontId="24" fillId="3" borderId="110" xfId="0" applyFont="1" applyFill="1" applyBorder="1" applyAlignment="1">
      <alignment vertical="center"/>
    </xf>
    <xf numFmtId="0" fontId="24" fillId="3" borderId="42" xfId="0" applyFont="1" applyFill="1" applyBorder="1" applyAlignment="1">
      <alignment vertical="center"/>
    </xf>
    <xf numFmtId="0" fontId="59" fillId="24" borderId="31" xfId="0" applyFont="1" applyFill="1" applyBorder="1" applyAlignment="1">
      <alignment vertical="center"/>
    </xf>
    <xf numFmtId="0" fontId="25" fillId="3" borderId="4" xfId="0" applyFont="1" applyFill="1" applyBorder="1" applyAlignment="1">
      <alignment horizontal="right" vertical="center" wrapText="1"/>
    </xf>
    <xf numFmtId="0" fontId="34" fillId="3" borderId="159" xfId="0" applyFont="1" applyFill="1" applyBorder="1" applyAlignment="1">
      <alignment horizontal="right" vertical="center" wrapText="1"/>
    </xf>
    <xf numFmtId="0" fontId="25" fillId="3" borderId="0" xfId="0" applyFont="1" applyFill="1" applyAlignment="1">
      <alignment horizontal="center" vertical="center"/>
    </xf>
    <xf numFmtId="0" fontId="52" fillId="24" borderId="31" xfId="0" applyFont="1" applyFill="1" applyBorder="1" applyAlignment="1">
      <alignment vertical="center"/>
    </xf>
    <xf numFmtId="0" fontId="24" fillId="3" borderId="4" xfId="0" applyFont="1" applyFill="1" applyBorder="1"/>
    <xf numFmtId="0" fontId="24" fillId="3" borderId="5" xfId="0" applyFont="1" applyFill="1" applyBorder="1"/>
    <xf numFmtId="0" fontId="24" fillId="3" borderId="85" xfId="0" applyFont="1" applyFill="1" applyBorder="1" applyAlignment="1" applyProtection="1">
      <alignment vertical="center"/>
      <protection locked="0"/>
    </xf>
    <xf numFmtId="0" fontId="24" fillId="0" borderId="0" xfId="0" applyFont="1" applyAlignment="1" applyProtection="1">
      <alignment vertical="center" wrapText="1"/>
      <protection locked="0"/>
    </xf>
    <xf numFmtId="0" fontId="30" fillId="0" borderId="0" xfId="0" applyFont="1" applyAlignment="1" applyProtection="1">
      <alignment vertical="center"/>
      <protection locked="0"/>
    </xf>
    <xf numFmtId="0" fontId="43" fillId="0" borderId="0" xfId="7" applyFont="1" applyAlignment="1" applyProtection="1">
      <alignment vertical="center" wrapText="1"/>
      <protection locked="0"/>
    </xf>
    <xf numFmtId="0" fontId="25" fillId="21" borderId="99" xfId="0" applyFont="1" applyFill="1" applyBorder="1" applyAlignment="1">
      <alignment vertical="center" wrapText="1"/>
    </xf>
    <xf numFmtId="49" fontId="48" fillId="21" borderId="32" xfId="0" applyNumberFormat="1" applyFont="1" applyFill="1" applyBorder="1" applyAlignment="1">
      <alignment horizontal="left" vertical="center"/>
    </xf>
    <xf numFmtId="0" fontId="25" fillId="21" borderId="10" xfId="0" applyFont="1" applyFill="1" applyBorder="1" applyAlignment="1">
      <alignment vertical="center" wrapText="1"/>
    </xf>
    <xf numFmtId="14" fontId="48" fillId="21" borderId="45" xfId="0" applyNumberFormat="1" applyFont="1" applyFill="1" applyBorder="1" applyAlignment="1" applyProtection="1">
      <alignment horizontal="left" vertical="center"/>
      <protection locked="0"/>
    </xf>
    <xf numFmtId="0" fontId="70" fillId="28" borderId="0" xfId="0" applyFont="1" applyFill="1" applyAlignment="1">
      <alignment vertical="center"/>
    </xf>
    <xf numFmtId="0" fontId="73" fillId="28" borderId="0" xfId="0" applyFont="1" applyFill="1" applyAlignment="1">
      <alignment horizontal="right" vertical="center"/>
    </xf>
    <xf numFmtId="0" fontId="25" fillId="21" borderId="104" xfId="0" applyFont="1" applyFill="1" applyBorder="1" applyAlignment="1" applyProtection="1">
      <alignment vertical="center"/>
      <protection locked="0"/>
    </xf>
    <xf numFmtId="0" fontId="24" fillId="9" borderId="141" xfId="0" applyFont="1" applyFill="1" applyBorder="1" applyAlignment="1">
      <alignment vertical="center"/>
    </xf>
    <xf numFmtId="0" fontId="24" fillId="29" borderId="141" xfId="0" applyFont="1" applyFill="1" applyBorder="1" applyAlignment="1">
      <alignment vertical="center"/>
    </xf>
    <xf numFmtId="0" fontId="25" fillId="0" borderId="141" xfId="0" applyFont="1" applyBorder="1" applyAlignment="1">
      <alignment vertical="center"/>
    </xf>
    <xf numFmtId="49" fontId="48" fillId="22" borderId="34" xfId="0" applyNumberFormat="1" applyFont="1" applyFill="1" applyBorder="1" applyAlignment="1" applyProtection="1">
      <alignment horizontal="left" vertical="center" wrapText="1"/>
      <protection locked="0"/>
    </xf>
    <xf numFmtId="49" fontId="33" fillId="22" borderId="82" xfId="0" applyNumberFormat="1" applyFont="1" applyFill="1" applyBorder="1" applyAlignment="1" applyProtection="1">
      <alignment horizontal="left" vertical="center" wrapText="1"/>
      <protection locked="0"/>
    </xf>
    <xf numFmtId="0" fontId="33" fillId="0" borderId="172" xfId="0" applyFont="1" applyBorder="1" applyAlignment="1">
      <alignment vertical="center"/>
    </xf>
    <xf numFmtId="0" fontId="24" fillId="0" borderId="76" xfId="0" applyFont="1" applyBorder="1" applyAlignment="1">
      <alignment vertical="center" wrapText="1"/>
    </xf>
    <xf numFmtId="0" fontId="24" fillId="0" borderId="78" xfId="0" applyFont="1" applyBorder="1" applyAlignment="1" applyProtection="1">
      <alignment vertical="center" wrapText="1"/>
      <protection locked="0"/>
    </xf>
    <xf numFmtId="49" fontId="48" fillId="21" borderId="118" xfId="0" applyNumberFormat="1" applyFont="1" applyFill="1" applyBorder="1" applyAlignment="1">
      <alignment horizontal="left" vertical="center"/>
    </xf>
    <xf numFmtId="0" fontId="48" fillId="21" borderId="111" xfId="0" applyFont="1" applyFill="1" applyBorder="1" applyAlignment="1">
      <alignment horizontal="left" vertical="center" wrapText="1"/>
    </xf>
    <xf numFmtId="0" fontId="48" fillId="21" borderId="105" xfId="0" applyFont="1" applyFill="1" applyBorder="1" applyAlignment="1">
      <alignment horizontal="left" vertical="center" wrapText="1"/>
    </xf>
    <xf numFmtId="0" fontId="52" fillId="13" borderId="0" xfId="0" applyFont="1" applyFill="1" applyAlignment="1">
      <alignment horizontal="center" vertical="center" wrapText="1"/>
    </xf>
    <xf numFmtId="0" fontId="52" fillId="13" borderId="0" xfId="0" applyFont="1" applyFill="1" applyAlignment="1">
      <alignment vertical="center"/>
    </xf>
    <xf numFmtId="14" fontId="42" fillId="0" borderId="35" xfId="10" applyNumberFormat="1" applyFont="1" applyBorder="1" applyAlignment="1">
      <alignment horizontal="center" vertical="center"/>
    </xf>
    <xf numFmtId="0" fontId="48" fillId="21" borderId="41" xfId="0" applyFont="1" applyFill="1" applyBorder="1" applyAlignment="1">
      <alignment vertical="center" wrapText="1"/>
    </xf>
    <xf numFmtId="0" fontId="48" fillId="21" borderId="76" xfId="0" applyFont="1" applyFill="1" applyBorder="1" applyAlignment="1">
      <alignment vertical="center" wrapText="1"/>
    </xf>
    <xf numFmtId="0" fontId="60" fillId="30" borderId="76" xfId="10" applyFont="1" applyFill="1" applyBorder="1" applyAlignment="1">
      <alignment horizontal="left" vertical="center" wrapText="1"/>
    </xf>
    <xf numFmtId="0" fontId="60" fillId="30" borderId="76" xfId="13" applyFont="1" applyFill="1" applyBorder="1" applyAlignment="1">
      <alignment horizontal="left" vertical="center" wrapText="1"/>
    </xf>
    <xf numFmtId="0" fontId="60" fillId="30" borderId="76" xfId="0" applyFont="1" applyFill="1" applyBorder="1" applyAlignment="1">
      <alignment horizontal="left" vertical="center"/>
    </xf>
    <xf numFmtId="0" fontId="26" fillId="0" borderId="134" xfId="0" applyFont="1" applyBorder="1" applyAlignment="1">
      <alignment horizontal="left" vertical="center" wrapText="1"/>
    </xf>
    <xf numFmtId="0" fontId="25" fillId="3" borderId="35" xfId="0" applyFont="1" applyFill="1" applyBorder="1" applyAlignment="1">
      <alignment horizontal="center" vertical="center"/>
    </xf>
    <xf numFmtId="0" fontId="24" fillId="3" borderId="83" xfId="0" applyFont="1" applyFill="1" applyBorder="1" applyAlignment="1">
      <alignment horizontal="center" vertical="center" wrapText="1"/>
    </xf>
    <xf numFmtId="0" fontId="42" fillId="0" borderId="0" xfId="0" applyFont="1" applyAlignment="1">
      <alignment horizontal="center" vertical="center"/>
      <extLst>
        <ext xmlns:xfpb="http://schemas.microsoft.com/office/spreadsheetml/2022/featurepropertybag" uri="{C7286773-470A-42A8-94C5-96B5CB345126}">
          <xfpb:xfComplement i="0"/>
        </ext>
      </extLst>
    </xf>
    <xf numFmtId="0" fontId="36" fillId="0" borderId="0" xfId="0" applyFont="1" applyAlignment="1">
      <alignment horizontal="center" vertical="center"/>
      <extLst>
        <ext xmlns:xfpb="http://schemas.microsoft.com/office/spreadsheetml/2022/featurepropertybag" uri="{C7286773-470A-42A8-94C5-96B5CB345126}">
          <xfpb:xfComplement i="0"/>
        </ext>
      </extLst>
    </xf>
    <xf numFmtId="0" fontId="42" fillId="0" borderId="150" xfId="0" applyFont="1" applyBorder="1" applyAlignment="1">
      <alignment horizontal="center" vertical="center" wrapText="1"/>
    </xf>
    <xf numFmtId="0" fontId="42" fillId="0" borderId="152" xfId="0" applyFont="1" applyBorder="1" applyAlignment="1">
      <alignment horizontal="center" vertical="center" wrapText="1"/>
    </xf>
    <xf numFmtId="0" fontId="42" fillId="0" borderId="154" xfId="0" applyFont="1" applyBorder="1" applyAlignment="1">
      <alignment horizontal="center" vertical="center" wrapText="1"/>
    </xf>
    <xf numFmtId="0" fontId="24" fillId="0" borderId="0" xfId="0" applyFont="1" applyAlignment="1">
      <alignment horizontal="center" vertical="center"/>
      <extLst>
        <ext xmlns:xfpb="http://schemas.microsoft.com/office/spreadsheetml/2022/featurepropertybag" uri="{C7286773-470A-42A8-94C5-96B5CB345126}">
          <xfpb:xfComplement i="0"/>
        </ext>
      </extLst>
    </xf>
    <xf numFmtId="0" fontId="69" fillId="0" borderId="0" xfId="9" applyFont="1" applyAlignment="1">
      <alignment horizontal="left" vertical="center"/>
    </xf>
    <xf numFmtId="0" fontId="24" fillId="3" borderId="140" xfId="0" applyFont="1" applyFill="1" applyBorder="1" applyAlignment="1">
      <alignment horizontal="right" vertical="center"/>
    </xf>
    <xf numFmtId="3" fontId="24" fillId="22" borderId="5" xfId="0" applyNumberFormat="1" applyFont="1" applyFill="1" applyBorder="1" applyAlignment="1" applyProtection="1">
      <alignment vertical="center"/>
      <protection locked="0"/>
    </xf>
    <xf numFmtId="0" fontId="25" fillId="21" borderId="0" xfId="8" applyFont="1" applyFill="1" applyAlignment="1">
      <alignment horizontal="justify" vertical="center" wrapText="1"/>
    </xf>
    <xf numFmtId="0" fontId="24" fillId="21" borderId="0" xfId="8" applyFont="1" applyFill="1" applyAlignment="1">
      <alignment horizontal="justify" vertical="center" wrapText="1"/>
    </xf>
    <xf numFmtId="0" fontId="22" fillId="21" borderId="0" xfId="8" applyFont="1" applyFill="1" applyAlignment="1">
      <alignment horizontal="center" vertical="center"/>
    </xf>
    <xf numFmtId="0" fontId="66" fillId="21" borderId="0" xfId="8" applyFont="1" applyFill="1" applyAlignment="1">
      <alignment horizontal="center" vertical="center"/>
    </xf>
    <xf numFmtId="0" fontId="23" fillId="21" borderId="0" xfId="8" applyFont="1" applyFill="1" applyAlignment="1">
      <alignment horizontal="center" vertical="center"/>
    </xf>
    <xf numFmtId="0" fontId="41" fillId="9" borderId="6" xfId="10" applyFont="1" applyFill="1" applyBorder="1" applyAlignment="1">
      <alignment horizontal="center" vertical="center"/>
    </xf>
    <xf numFmtId="0" fontId="41" fillId="9" borderId="47" xfId="10" applyFont="1" applyFill="1" applyBorder="1" applyAlignment="1">
      <alignment horizontal="center" vertical="center"/>
    </xf>
    <xf numFmtId="0" fontId="41" fillId="9" borderId="32" xfId="10" applyFont="1" applyFill="1" applyBorder="1" applyAlignment="1">
      <alignment horizontal="center" vertical="center"/>
    </xf>
    <xf numFmtId="0" fontId="69" fillId="0" borderId="0" xfId="9" applyFont="1" applyAlignment="1">
      <alignment horizontal="left" vertical="center" wrapText="1"/>
    </xf>
    <xf numFmtId="0" fontId="24" fillId="0" borderId="0" xfId="0" applyFont="1" applyAlignment="1">
      <alignment horizontal="left" vertical="top" wrapText="1"/>
    </xf>
    <xf numFmtId="0" fontId="68" fillId="0" borderId="0" xfId="9" applyFont="1" applyAlignment="1">
      <alignment horizontal="left" vertical="center" wrapText="1"/>
    </xf>
    <xf numFmtId="0" fontId="24" fillId="0" borderId="0" xfId="0" applyFont="1" applyAlignment="1">
      <alignment horizontal="left" vertical="center" wrapText="1"/>
    </xf>
    <xf numFmtId="0" fontId="35" fillId="0" borderId="0" xfId="0" applyFont="1" applyAlignment="1">
      <alignment horizontal="center" vertical="center" wrapText="1"/>
    </xf>
    <xf numFmtId="0" fontId="24" fillId="0" borderId="0" xfId="0" applyFont="1" applyAlignment="1">
      <alignment horizontal="center" vertical="center" wrapText="1"/>
    </xf>
    <xf numFmtId="0" fontId="31" fillId="0" borderId="0" xfId="9" applyFont="1" applyAlignment="1">
      <alignment horizontal="left" vertical="center" wrapText="1"/>
    </xf>
    <xf numFmtId="0" fontId="29" fillId="0" borderId="0" xfId="0" applyFont="1" applyAlignment="1">
      <alignment horizontal="center" vertical="center" wrapText="1"/>
    </xf>
    <xf numFmtId="0" fontId="26" fillId="0" borderId="0" xfId="0" applyFont="1" applyAlignment="1">
      <alignment horizontal="center" vertical="center" wrapText="1"/>
    </xf>
    <xf numFmtId="0" fontId="67" fillId="21" borderId="0" xfId="10" applyFont="1" applyFill="1" applyAlignment="1">
      <alignment horizontal="center" vertical="center" wrapText="1"/>
    </xf>
    <xf numFmtId="0" fontId="28" fillId="21" borderId="0" xfId="10" applyFont="1" applyFill="1" applyAlignment="1">
      <alignment horizontal="center" vertical="center" wrapText="1"/>
    </xf>
    <xf numFmtId="0" fontId="29" fillId="0" borderId="0" xfId="0" applyFont="1" applyAlignment="1">
      <alignment horizontal="left" vertical="center" wrapText="1"/>
    </xf>
    <xf numFmtId="0" fontId="68" fillId="0" borderId="0" xfId="9" applyFont="1" applyAlignment="1">
      <alignment horizontal="center" vertical="center" wrapText="1"/>
    </xf>
    <xf numFmtId="0" fontId="26" fillId="0" borderId="0" xfId="0" applyFont="1" applyAlignment="1">
      <alignment horizontal="left" vertical="center" wrapText="1"/>
    </xf>
    <xf numFmtId="0" fontId="32" fillId="0" borderId="0" xfId="9" applyFont="1" applyAlignment="1">
      <alignment horizontal="left" vertical="center" wrapText="1"/>
    </xf>
    <xf numFmtId="0" fontId="24" fillId="0" borderId="0" xfId="0" applyFont="1" applyAlignment="1">
      <alignment horizontal="left" vertical="center"/>
    </xf>
    <xf numFmtId="0" fontId="33" fillId="0" borderId="0" xfId="0" applyFont="1" applyAlignment="1">
      <alignment horizontal="left" vertical="center" wrapText="1"/>
    </xf>
    <xf numFmtId="0" fontId="69" fillId="0" borderId="0" xfId="9" applyFont="1" applyAlignment="1">
      <alignment horizontal="left" vertical="center"/>
    </xf>
    <xf numFmtId="0" fontId="32" fillId="0" borderId="0" xfId="9" applyFont="1" applyAlignment="1">
      <alignment horizontal="left" vertical="center"/>
    </xf>
    <xf numFmtId="0" fontId="68" fillId="0" borderId="0" xfId="9" applyFont="1" applyAlignment="1">
      <alignment horizontal="left" vertical="center"/>
    </xf>
    <xf numFmtId="0" fontId="38" fillId="0" borderId="0" xfId="0" applyFont="1" applyAlignment="1">
      <alignment horizontal="center" wrapText="1"/>
    </xf>
    <xf numFmtId="0" fontId="38" fillId="0" borderId="0" xfId="0" applyFont="1" applyAlignment="1">
      <alignment horizontal="left" vertical="center" wrapText="1"/>
    </xf>
    <xf numFmtId="0" fontId="42" fillId="0" borderId="0" xfId="0" applyFont="1" applyAlignment="1">
      <alignment horizontal="left" vertical="center" wrapText="1"/>
    </xf>
    <xf numFmtId="0" fontId="25" fillId="0" borderId="0" xfId="0" applyFont="1" applyAlignment="1">
      <alignment horizontal="left" vertical="center"/>
    </xf>
    <xf numFmtId="0" fontId="46" fillId="21" borderId="1" xfId="2" applyFont="1" applyFill="1" applyBorder="1" applyAlignment="1">
      <alignment horizontal="center" vertical="center" wrapText="1"/>
    </xf>
    <xf numFmtId="0" fontId="24" fillId="0" borderId="1" xfId="0" applyFont="1" applyBorder="1" applyAlignment="1">
      <alignment horizontal="left" vertical="center" wrapText="1"/>
    </xf>
    <xf numFmtId="0" fontId="25" fillId="0" borderId="96" xfId="0" applyFont="1" applyBorder="1" applyAlignment="1">
      <alignment horizontal="left" vertical="center"/>
    </xf>
    <xf numFmtId="0" fontId="25" fillId="0" borderId="101" xfId="0" applyFont="1" applyBorder="1" applyAlignment="1">
      <alignment horizontal="left" vertical="center"/>
    </xf>
    <xf numFmtId="0" fontId="25" fillId="0" borderId="47" xfId="0" applyFont="1" applyBorder="1" applyAlignment="1">
      <alignment horizontal="left" vertical="center"/>
    </xf>
    <xf numFmtId="0" fontId="50" fillId="0" borderId="171" xfId="0" applyFont="1" applyBorder="1" applyAlignment="1">
      <alignment horizontal="left" vertical="center"/>
    </xf>
    <xf numFmtId="0" fontId="48" fillId="0" borderId="160" xfId="0" applyFont="1" applyBorder="1" applyAlignment="1">
      <alignment horizontal="left" vertical="center" wrapText="1"/>
    </xf>
    <xf numFmtId="0" fontId="36" fillId="0" borderId="161" xfId="0" applyFont="1" applyBorder="1" applyAlignment="1">
      <alignment horizontal="left" vertical="center" wrapText="1"/>
    </xf>
    <xf numFmtId="0" fontId="25" fillId="3" borderId="14"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34" fillId="25" borderId="11" xfId="0" applyFont="1" applyFill="1" applyBorder="1" applyAlignment="1">
      <alignment horizontal="left" vertical="center" wrapText="1"/>
    </xf>
    <xf numFmtId="0" fontId="34" fillId="25" borderId="12" xfId="0" applyFont="1" applyFill="1" applyBorder="1" applyAlignment="1">
      <alignment horizontal="left" vertical="center" wrapText="1"/>
    </xf>
    <xf numFmtId="0" fontId="42" fillId="0" borderId="7" xfId="0" applyFont="1" applyBorder="1" applyAlignment="1">
      <alignment horizontal="left" vertical="center" wrapText="1"/>
    </xf>
    <xf numFmtId="0" fontId="42" fillId="0" borderId="10" xfId="0" applyFont="1" applyBorder="1" applyAlignment="1">
      <alignment horizontal="left" vertical="center" wrapText="1"/>
    </xf>
    <xf numFmtId="0" fontId="26" fillId="3" borderId="4" xfId="0" applyFont="1" applyFill="1" applyBorder="1" applyAlignment="1">
      <alignment horizontal="left" vertical="center" wrapText="1"/>
    </xf>
    <xf numFmtId="0" fontId="26" fillId="3" borderId="5" xfId="0" applyFont="1" applyFill="1" applyBorder="1" applyAlignment="1">
      <alignment horizontal="left" vertical="center" wrapText="1"/>
    </xf>
    <xf numFmtId="0" fontId="38" fillId="25" borderId="16" xfId="0" applyFont="1" applyFill="1" applyBorder="1" applyAlignment="1">
      <alignment horizontal="center" vertical="center" wrapText="1"/>
    </xf>
    <xf numFmtId="0" fontId="38" fillId="25" borderId="17" xfId="0" applyFont="1" applyFill="1" applyBorder="1" applyAlignment="1">
      <alignment horizontal="center" vertical="center" wrapText="1"/>
    </xf>
    <xf numFmtId="0" fontId="60" fillId="0" borderId="28" xfId="0" applyFont="1" applyBorder="1" applyAlignment="1">
      <alignment horizontal="left" vertical="center" wrapText="1"/>
    </xf>
    <xf numFmtId="0" fontId="60" fillId="0" borderId="29" xfId="0" applyFont="1" applyBorder="1" applyAlignment="1">
      <alignment horizontal="left" vertical="center" wrapText="1"/>
    </xf>
    <xf numFmtId="0" fontId="51" fillId="22" borderId="142" xfId="7" quotePrefix="1" applyFont="1" applyFill="1" applyBorder="1" applyAlignment="1" applyProtection="1">
      <alignment horizontal="center" vertical="center"/>
      <protection locked="0"/>
    </xf>
    <xf numFmtId="0" fontId="51" fillId="22" borderId="143" xfId="7" quotePrefix="1" applyFont="1" applyFill="1" applyBorder="1" applyAlignment="1" applyProtection="1">
      <alignment horizontal="center" vertical="center"/>
      <protection locked="0"/>
    </xf>
    <xf numFmtId="0" fontId="26" fillId="0" borderId="4" xfId="0" applyFont="1" applyBorder="1" applyAlignment="1">
      <alignment horizontal="left" vertical="center" wrapText="1"/>
    </xf>
    <xf numFmtId="0" fontId="26" fillId="0" borderId="5" xfId="0" applyFont="1" applyBorder="1" applyAlignment="1">
      <alignment horizontal="left" vertical="center" wrapText="1"/>
    </xf>
    <xf numFmtId="0" fontId="25" fillId="3" borderId="4"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6" fillId="3" borderId="4" xfId="0" applyFont="1" applyFill="1" applyBorder="1" applyAlignment="1">
      <alignment horizontal="center" vertical="center" wrapText="1"/>
    </xf>
    <xf numFmtId="0" fontId="26" fillId="3" borderId="5"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17" xfId="0" applyFont="1" applyFill="1" applyBorder="1" applyAlignment="1">
      <alignment horizontal="center" vertical="center" wrapText="1"/>
    </xf>
    <xf numFmtId="0" fontId="25" fillId="25" borderId="142" xfId="0" applyFont="1" applyFill="1" applyBorder="1" applyAlignment="1">
      <alignment horizontal="center" vertical="center" wrapText="1"/>
    </xf>
    <xf numFmtId="0" fontId="25" fillId="25" borderId="143" xfId="0" applyFont="1" applyFill="1" applyBorder="1" applyAlignment="1">
      <alignment horizontal="center" vertical="center" wrapText="1"/>
    </xf>
    <xf numFmtId="0" fontId="25" fillId="3" borderId="173" xfId="0" applyFont="1" applyFill="1" applyBorder="1" applyAlignment="1" applyProtection="1">
      <alignment horizontal="center" vertical="center" wrapText="1"/>
      <protection locked="0"/>
    </xf>
    <xf numFmtId="0" fontId="25" fillId="3" borderId="174" xfId="0" applyFont="1" applyFill="1" applyBorder="1" applyAlignment="1" applyProtection="1">
      <alignment horizontal="center" vertical="center" wrapText="1"/>
      <protection locked="0"/>
    </xf>
    <xf numFmtId="0" fontId="24" fillId="0" borderId="1" xfId="0" applyFont="1" applyBorder="1" applyAlignment="1">
      <alignment horizontal="center" vertical="center" wrapText="1"/>
    </xf>
    <xf numFmtId="0" fontId="54" fillId="0" borderId="0" xfId="7" applyFont="1" applyBorder="1" applyAlignment="1" applyProtection="1">
      <alignment horizontal="left" vertical="center" wrapText="1"/>
      <protection locked="0"/>
    </xf>
    <xf numFmtId="0" fontId="54" fillId="0" borderId="1" xfId="7" applyFont="1" applyBorder="1" applyAlignment="1" applyProtection="1">
      <alignment horizontal="left" vertical="center" wrapText="1"/>
      <protection locked="0"/>
    </xf>
    <xf numFmtId="0" fontId="72" fillId="21" borderId="0" xfId="2" applyFont="1" applyFill="1" applyAlignment="1">
      <alignment horizontal="center" vertical="center" wrapText="1"/>
    </xf>
    <xf numFmtId="0" fontId="24" fillId="3" borderId="92" xfId="0" applyFont="1" applyFill="1" applyBorder="1" applyAlignment="1">
      <alignment horizontal="left" vertical="center"/>
    </xf>
    <xf numFmtId="0" fontId="24" fillId="3" borderId="93" xfId="0" applyFont="1" applyFill="1" applyBorder="1" applyAlignment="1">
      <alignment horizontal="left" vertical="center"/>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0" fontId="54" fillId="3" borderId="4" xfId="7" applyFont="1" applyFill="1" applyBorder="1" applyAlignment="1" applyProtection="1">
      <alignment horizontal="center" vertical="center" wrapText="1"/>
      <protection locked="0"/>
    </xf>
    <xf numFmtId="0" fontId="54" fillId="3" borderId="5" xfId="7" applyFont="1" applyFill="1" applyBorder="1" applyAlignment="1" applyProtection="1">
      <alignment horizontal="center" vertical="center" wrapText="1"/>
      <protection locked="0"/>
    </xf>
    <xf numFmtId="0" fontId="54" fillId="3" borderId="4" xfId="7" applyFont="1" applyFill="1" applyBorder="1" applyAlignment="1" applyProtection="1">
      <alignment horizontal="center" vertical="center"/>
      <protection locked="0"/>
    </xf>
    <xf numFmtId="0" fontId="54" fillId="3" borderId="5" xfId="7" applyFont="1" applyFill="1" applyBorder="1" applyAlignment="1" applyProtection="1">
      <alignment horizontal="center" vertical="center"/>
      <protection locked="0"/>
    </xf>
    <xf numFmtId="0" fontId="25" fillId="3" borderId="11" xfId="0" applyFont="1" applyFill="1" applyBorder="1" applyAlignment="1">
      <alignment horizontal="center" vertical="center" wrapText="1"/>
    </xf>
    <xf numFmtId="0" fontId="25" fillId="3" borderId="12" xfId="0" applyFont="1" applyFill="1" applyBorder="1" applyAlignment="1">
      <alignment horizontal="center" vertical="center" wrapText="1"/>
    </xf>
    <xf numFmtId="0" fontId="89" fillId="3" borderId="4" xfId="0" applyFont="1" applyFill="1" applyBorder="1" applyAlignment="1">
      <alignment horizontal="left" vertical="center" wrapText="1"/>
    </xf>
    <xf numFmtId="0" fontId="89" fillId="3" borderId="5" xfId="0" applyFont="1" applyFill="1" applyBorder="1" applyAlignment="1">
      <alignment horizontal="left" vertical="center" wrapText="1"/>
    </xf>
    <xf numFmtId="49" fontId="42" fillId="0" borderId="0" xfId="0" applyNumberFormat="1" applyFont="1" applyAlignment="1">
      <alignment horizontal="left" vertical="center" wrapText="1"/>
    </xf>
    <xf numFmtId="0" fontId="42" fillId="0" borderId="0" xfId="0" applyFont="1" applyAlignment="1">
      <alignment horizontal="left" vertical="center"/>
    </xf>
    <xf numFmtId="0" fontId="61" fillId="0" borderId="0" xfId="0" applyFont="1" applyAlignment="1">
      <alignment horizontal="center" vertical="center"/>
    </xf>
    <xf numFmtId="0" fontId="60" fillId="0" borderId="0" xfId="0" applyFont="1" applyAlignment="1">
      <alignment horizontal="left" vertical="center"/>
    </xf>
    <xf numFmtId="0" fontId="42" fillId="0" borderId="0" xfId="0" applyFont="1" applyAlignment="1">
      <alignment horizontal="center" vertical="center" wrapText="1"/>
    </xf>
    <xf numFmtId="0" fontId="25" fillId="25" borderId="0" xfId="0" applyFont="1" applyFill="1" applyAlignment="1">
      <alignment horizontal="left" vertical="center"/>
    </xf>
    <xf numFmtId="0" fontId="76" fillId="23" borderId="51" xfId="0" applyFont="1" applyFill="1" applyBorder="1" applyAlignment="1">
      <alignment horizontal="center" vertical="center" wrapText="1"/>
    </xf>
    <xf numFmtId="0" fontId="76" fillId="23" borderId="86" xfId="0" applyFont="1" applyFill="1" applyBorder="1" applyAlignment="1">
      <alignment horizontal="center" vertical="center" wrapText="1"/>
    </xf>
    <xf numFmtId="0" fontId="76" fillId="23" borderId="89" xfId="0" applyFont="1" applyFill="1" applyBorder="1" applyAlignment="1">
      <alignment horizontal="center" vertical="center" wrapText="1"/>
    </xf>
    <xf numFmtId="0" fontId="76" fillId="23" borderId="48" xfId="0" applyFont="1" applyFill="1" applyBorder="1" applyAlignment="1">
      <alignment horizontal="center" vertical="center" wrapText="1"/>
    </xf>
    <xf numFmtId="0" fontId="76" fillId="23" borderId="90" xfId="0" applyFont="1" applyFill="1" applyBorder="1" applyAlignment="1">
      <alignment horizontal="center" vertical="center" wrapText="1"/>
    </xf>
    <xf numFmtId="0" fontId="76" fillId="23" borderId="18" xfId="0" applyFont="1" applyFill="1" applyBorder="1" applyAlignment="1">
      <alignment horizontal="center" vertical="center"/>
    </xf>
    <xf numFmtId="0" fontId="76" fillId="23" borderId="87" xfId="0" applyFont="1" applyFill="1" applyBorder="1" applyAlignment="1">
      <alignment horizontal="center" vertical="center"/>
    </xf>
    <xf numFmtId="0" fontId="76" fillId="23" borderId="52" xfId="0" applyFont="1" applyFill="1" applyBorder="1" applyAlignment="1">
      <alignment horizontal="center" vertical="center"/>
    </xf>
    <xf numFmtId="0" fontId="76" fillId="23" borderId="91" xfId="0" applyFont="1" applyFill="1" applyBorder="1" applyAlignment="1">
      <alignment horizontal="center" vertical="center"/>
    </xf>
    <xf numFmtId="0" fontId="71" fillId="23" borderId="71" xfId="12" applyFont="1" applyFill="1" applyBorder="1" applyAlignment="1">
      <alignment horizontal="center" vertical="center"/>
    </xf>
    <xf numFmtId="0" fontId="71" fillId="23" borderId="72" xfId="12" applyFont="1" applyFill="1" applyBorder="1" applyAlignment="1">
      <alignment horizontal="center" vertical="center"/>
    </xf>
    <xf numFmtId="0" fontId="71" fillId="23" borderId="59" xfId="12" applyFont="1" applyFill="1" applyBorder="1" applyAlignment="1">
      <alignment horizontal="center" vertical="center"/>
    </xf>
    <xf numFmtId="0" fontId="75" fillId="0" borderId="68" xfId="12" applyFont="1" applyBorder="1" applyAlignment="1">
      <alignment horizontal="left" vertical="center" wrapText="1"/>
    </xf>
    <xf numFmtId="0" fontId="75" fillId="0" borderId="69" xfId="12" applyFont="1" applyBorder="1" applyAlignment="1">
      <alignment horizontal="left" vertical="center" wrapText="1"/>
    </xf>
    <xf numFmtId="0" fontId="75" fillId="0" borderId="70" xfId="12" applyFont="1" applyBorder="1" applyAlignment="1">
      <alignment horizontal="left" vertical="center" wrapText="1"/>
    </xf>
    <xf numFmtId="0" fontId="75" fillId="0" borderId="66" xfId="12" applyFont="1" applyBorder="1" applyAlignment="1">
      <alignment horizontal="left" vertical="center" wrapText="1"/>
    </xf>
    <xf numFmtId="0" fontId="75" fillId="0" borderId="49" xfId="12" applyFont="1" applyBorder="1" applyAlignment="1">
      <alignment horizontal="left" vertical="center" wrapText="1"/>
    </xf>
    <xf numFmtId="0" fontId="75" fillId="0" borderId="67" xfId="12" applyFont="1" applyBorder="1" applyAlignment="1">
      <alignment horizontal="left" vertical="center" wrapText="1"/>
    </xf>
    <xf numFmtId="0" fontId="75" fillId="0" borderId="64" xfId="12" applyFont="1" applyBorder="1" applyAlignment="1">
      <alignment horizontal="left" vertical="center" wrapText="1"/>
    </xf>
    <xf numFmtId="0" fontId="75" fillId="0" borderId="50" xfId="12" applyFont="1" applyBorder="1" applyAlignment="1">
      <alignment horizontal="left" vertical="center" wrapText="1"/>
    </xf>
    <xf numFmtId="0" fontId="75" fillId="0" borderId="65" xfId="12" applyFont="1" applyBorder="1" applyAlignment="1">
      <alignment horizontal="left" vertical="center" wrapText="1"/>
    </xf>
    <xf numFmtId="0" fontId="9" fillId="19" borderId="46" xfId="7" applyFill="1" applyBorder="1" applyAlignment="1" applyProtection="1">
      <alignment horizontal="center" vertical="center" wrapText="1"/>
      <protection locked="0"/>
    </xf>
  </cellXfs>
  <cellStyles count="14">
    <cellStyle name="Hyperlink" xfId="7" builtinId="8"/>
    <cellStyle name="Hyperlink 2" xfId="1" xr:uid="{00000000-0005-0000-0000-000001000000}"/>
    <cellStyle name="Hyperlink 3" xfId="5" xr:uid="{C1C0D0B4-698A-4C5D-94FC-F1A0C4E74754}"/>
    <cellStyle name="Hyperlink 4" xfId="11" xr:uid="{E331D27E-D166-4837-91A3-9A5C84A279D2}"/>
    <cellStyle name="Monedă 2" xfId="6" xr:uid="{58F22C97-3A2D-4BEB-A104-A3587839195C}"/>
    <cellStyle name="Normal" xfId="0" builtinId="0"/>
    <cellStyle name="Normal 2" xfId="2" xr:uid="{C8F948FC-4D34-423A-A9F6-26FD6ABE0970}"/>
    <cellStyle name="Normal 2 2" xfId="8" xr:uid="{38E7048F-3DA7-4703-BD99-EA7FDC5D85AD}"/>
    <cellStyle name="Normal 2 3" xfId="10" xr:uid="{72B0BD76-6188-4085-A7E7-69937101C449}"/>
    <cellStyle name="Normal 3" xfId="4" xr:uid="{09A6ACCA-A5C8-493F-8B8F-4E115E23E49C}"/>
    <cellStyle name="Normal 4" xfId="3" xr:uid="{9C19F295-92AC-A94B-816F-0D2F6B00C215}"/>
    <cellStyle name="Normal 5" xfId="9" xr:uid="{8F2E0B1A-1ACC-421C-B954-4D508395BE76}"/>
    <cellStyle name="Normal 6" xfId="12" xr:uid="{912DBA58-D4A3-41DD-9BB0-AC1BA1170DFC}"/>
    <cellStyle name="Normal_Liste" xfId="13" xr:uid="{680DFE46-2E50-4E1B-943A-3CC8293343FD}"/>
  </cellStyles>
  <dxfs count="59">
    <dxf>
      <font>
        <color rgb="FFF3FCFF"/>
      </font>
      <fill>
        <patternFill>
          <bgColor rgb="FFF3FCFF"/>
        </patternFill>
      </fill>
    </dxf>
    <dxf>
      <font>
        <color rgb="FFF3FCFF"/>
      </font>
      <fill>
        <patternFill>
          <bgColor rgb="FFF3FCFF"/>
        </patternFill>
      </fill>
    </dxf>
    <dxf>
      <fill>
        <patternFill>
          <bgColor rgb="FFF3FCFF"/>
        </patternFill>
      </fill>
    </dxf>
    <dxf>
      <font>
        <color theme="0" tint="-4.9989318521683403E-2"/>
      </font>
      <fill>
        <patternFill>
          <bgColor rgb="FFF3FCFF"/>
        </patternFill>
      </fill>
    </dxf>
    <dxf>
      <font>
        <color theme="0"/>
      </font>
      <fill>
        <patternFill patternType="solid">
          <fgColor theme="0"/>
          <bgColor theme="0" tint="-4.9989318521683403E-2"/>
        </patternFill>
      </fill>
    </dxf>
    <dxf>
      <font>
        <b val="0"/>
        <i/>
        <color rgb="FFFF0000"/>
      </font>
    </dxf>
    <dxf>
      <font>
        <color theme="1" tint="0.499984740745262"/>
      </font>
      <fill>
        <patternFill>
          <bgColor theme="1" tint="0.499984740745262"/>
        </patternFill>
      </fill>
    </dxf>
    <dxf>
      <font>
        <color theme="0" tint="-0.14996795556505021"/>
      </font>
      <fill>
        <patternFill>
          <bgColor theme="0" tint="-0.14996795556505021"/>
        </patternFill>
      </fill>
    </dxf>
    <dxf>
      <font>
        <color theme="0" tint="-4.9989318521683403E-2"/>
      </font>
      <fill>
        <patternFill>
          <bgColor theme="0" tint="-4.9989318521683403E-2"/>
        </patternFill>
      </fill>
    </dxf>
    <dxf>
      <fill>
        <patternFill>
          <bgColor rgb="FFFABF8F"/>
        </patternFill>
      </fill>
    </dxf>
    <dxf>
      <fill>
        <patternFill>
          <bgColor rgb="FF92CDDC"/>
        </patternFill>
      </fill>
    </dxf>
    <dxf>
      <fill>
        <patternFill>
          <bgColor rgb="FF8BFFB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font>
      <fill>
        <patternFill>
          <bgColor rgb="FFFF0000"/>
        </patternFill>
      </fill>
    </dxf>
    <dxf>
      <fill>
        <patternFill>
          <bgColor rgb="FFFF0000"/>
        </patternFill>
      </fill>
    </dxf>
    <dxf>
      <fill>
        <patternFill>
          <bgColor rgb="FFFF0000"/>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theme="1" tint="0.499984740745262"/>
      </font>
      <fill>
        <patternFill>
          <bgColor theme="1" tint="0.499984740745262"/>
        </patternFill>
      </fill>
    </dxf>
    <dxf>
      <font>
        <b/>
        <i val="0"/>
        <strike val="0"/>
        <color rgb="FFFF0000"/>
      </font>
      <fill>
        <patternFill>
          <bgColor rgb="FFFFD9D9"/>
        </patternFill>
      </fill>
    </dxf>
    <dxf>
      <font>
        <b val="0"/>
        <i/>
        <color rgb="FFC00000"/>
      </font>
      <fill>
        <patternFill>
          <bgColor rgb="FFFFD9D9"/>
        </patternFill>
      </fill>
    </dxf>
    <dxf>
      <font>
        <color rgb="FFFF0000"/>
      </font>
    </dxf>
    <dxf>
      <font>
        <b/>
        <i val="0"/>
        <color rgb="FFC00000"/>
      </font>
      <fill>
        <patternFill>
          <bgColor rgb="FFFFD9D9"/>
        </patternFill>
      </fill>
    </dxf>
    <dxf>
      <fill>
        <patternFill>
          <bgColor rgb="FFDDF0FF"/>
        </patternFill>
      </fill>
    </dxf>
    <dxf>
      <fill>
        <patternFill>
          <bgColor theme="4"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4" tint="0.79998168889431442"/>
        </patternFill>
      </fill>
    </dxf>
    <dxf>
      <fill>
        <patternFill>
          <bgColor rgb="FFFADBD3"/>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4" tint="0.79998168889431442"/>
        </patternFill>
      </fill>
    </dxf>
    <dxf>
      <font>
        <color theme="1" tint="0.499984740745262"/>
      </font>
      <fill>
        <patternFill>
          <fgColor auto="1"/>
          <bgColor theme="1" tint="0.499984740745262"/>
        </patternFill>
      </fill>
    </dxf>
    <dxf>
      <font>
        <color theme="1" tint="0.499984740745262"/>
      </font>
      <fill>
        <patternFill>
          <fgColor auto="1"/>
          <bgColor theme="1" tint="0.499984740745262"/>
        </patternFill>
      </fill>
    </dxf>
    <dxf>
      <font>
        <color theme="1" tint="0.499984740745262"/>
      </font>
      <fill>
        <patternFill>
          <bgColor theme="1" tint="0.499984740745262"/>
        </patternFill>
      </fill>
    </dxf>
    <dxf>
      <font>
        <color theme="1" tint="0.499984740745262"/>
      </font>
      <fill>
        <patternFill>
          <bgColor theme="1" tint="0.499984740745262"/>
        </patternFill>
      </fill>
    </dxf>
    <dxf>
      <font>
        <color theme="1" tint="0.499984740745262"/>
      </font>
      <fill>
        <patternFill>
          <bgColor theme="1" tint="0.499984740745262"/>
        </patternFill>
      </fill>
    </dxf>
    <dxf>
      <font>
        <color theme="1" tint="0.499984740745262"/>
      </font>
      <fill>
        <patternFill>
          <bgColor theme="1" tint="0.499984740745262"/>
        </patternFill>
      </fill>
    </dxf>
    <dxf>
      <fill>
        <patternFill>
          <bgColor theme="8" tint="0.79998168889431442"/>
        </patternFill>
      </fill>
    </dxf>
    <dxf>
      <font>
        <color theme="1" tint="0.499984740745262"/>
      </font>
      <fill>
        <patternFill>
          <bgColor theme="1" tint="0.499984740745262"/>
        </patternFill>
      </fill>
    </dxf>
    <dxf>
      <font>
        <color theme="1" tint="0.499984740745262"/>
      </font>
      <fill>
        <patternFill>
          <fgColor auto="1"/>
          <bgColor theme="1" tint="0.499984740745262"/>
        </patternFill>
      </fill>
    </dxf>
    <dxf>
      <font>
        <color theme="1" tint="0.499984740745262"/>
      </font>
      <fill>
        <patternFill>
          <fgColor auto="1"/>
          <bgColor theme="1" tint="0.49998474074526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99CCFF"/>
      <color rgb="FF00B0F0"/>
      <color rgb="FFFADBD3"/>
      <color rgb="FFFF5050"/>
      <color rgb="FFFF9F9F"/>
      <color rgb="FFFF8989"/>
      <color rgb="FF0000FF"/>
      <color rgb="FFF3FCFF"/>
      <color rgb="FFFBFDFF"/>
      <color rgb="FFFAB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9932</xdr:colOff>
      <xdr:row>2</xdr:row>
      <xdr:rowOff>39129</xdr:rowOff>
    </xdr:from>
    <xdr:to>
      <xdr:col>5</xdr:col>
      <xdr:colOff>1430</xdr:colOff>
      <xdr:row>4</xdr:row>
      <xdr:rowOff>360155</xdr:rowOff>
    </xdr:to>
    <xdr:pic>
      <xdr:nvPicPr>
        <xdr:cNvPr id="2" name="Imagine 1">
          <a:extLst>
            <a:ext uri="{FF2B5EF4-FFF2-40B4-BE49-F238E27FC236}">
              <a16:creationId xmlns:a16="http://schemas.microsoft.com/office/drawing/2014/main" id="{3678E04A-0362-4DA2-A997-AFD5AB624B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057" y="166129"/>
          <a:ext cx="3867538" cy="10868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12700</xdr:colOff>
      <xdr:row>0</xdr:row>
      <xdr:rowOff>184150</xdr:rowOff>
    </xdr:from>
    <xdr:to>
      <xdr:col>5</xdr:col>
      <xdr:colOff>742815</xdr:colOff>
      <xdr:row>1</xdr:row>
      <xdr:rowOff>794150</xdr:rowOff>
    </xdr:to>
    <xdr:pic>
      <xdr:nvPicPr>
        <xdr:cNvPr id="2" name="Imagine 1">
          <a:extLst>
            <a:ext uri="{FF2B5EF4-FFF2-40B4-BE49-F238E27FC236}">
              <a16:creationId xmlns:a16="http://schemas.microsoft.com/office/drawing/2014/main" id="{ADB46BFA-A7AD-4C96-AF00-C6E02BD5D54A}"/>
            </a:ext>
          </a:extLst>
        </xdr:cNvPr>
        <xdr:cNvPicPr>
          <a:picLocks noChangeAspect="1"/>
        </xdr:cNvPicPr>
      </xdr:nvPicPr>
      <xdr:blipFill>
        <a:blip xmlns:r="http://schemas.openxmlformats.org/officeDocument/2006/relationships" r:embed="rId1" cstate="print">
          <a:alphaModFix/>
          <a:extLst>
            <a:ext uri="{28A0092B-C50C-407E-A947-70E740481C1C}">
              <a14:useLocalDpi xmlns:a14="http://schemas.microsoft.com/office/drawing/2010/main" val="0"/>
            </a:ext>
          </a:extLst>
        </a:blip>
        <a:srcRect/>
        <a:stretch/>
      </xdr:blipFill>
      <xdr:spPr>
        <a:xfrm>
          <a:off x="311150" y="184150"/>
          <a:ext cx="3359015" cy="86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0</xdr:row>
      <xdr:rowOff>118990</xdr:rowOff>
    </xdr:from>
    <xdr:to>
      <xdr:col>3</xdr:col>
      <xdr:colOff>645420</xdr:colOff>
      <xdr:row>1</xdr:row>
      <xdr:rowOff>835435</xdr:rowOff>
    </xdr:to>
    <xdr:pic>
      <xdr:nvPicPr>
        <xdr:cNvPr id="2" name="Imagine 1">
          <a:extLst>
            <a:ext uri="{FF2B5EF4-FFF2-40B4-BE49-F238E27FC236}">
              <a16:creationId xmlns:a16="http://schemas.microsoft.com/office/drawing/2014/main" id="{C31DE616-1DFC-4E94-BD43-E2670DB7FB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700" y="118990"/>
          <a:ext cx="3489490" cy="9704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96520</xdr:colOff>
      <xdr:row>0</xdr:row>
      <xdr:rowOff>117720</xdr:rowOff>
    </xdr:from>
    <xdr:to>
      <xdr:col>2</xdr:col>
      <xdr:colOff>3561612</xdr:colOff>
      <xdr:row>1</xdr:row>
      <xdr:rowOff>818925</xdr:rowOff>
    </xdr:to>
    <xdr:pic>
      <xdr:nvPicPr>
        <xdr:cNvPr id="2" name="Imagine 1">
          <a:extLst>
            <a:ext uri="{FF2B5EF4-FFF2-40B4-BE49-F238E27FC236}">
              <a16:creationId xmlns:a16="http://schemas.microsoft.com/office/drawing/2014/main" id="{C66F0546-2A0A-4263-A0BE-2B52EA8A63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2280" y="117720"/>
          <a:ext cx="3472712" cy="96790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Chevron arrows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ă Office">
  <a:themeElements>
    <a:clrScheme name="Galben">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hyperlink" Target="https://ec.europa.eu/growth/tools-databases/SME-Wizard" TargetMode="External"/><Relationship Id="rId13" Type="http://schemas.openxmlformats.org/officeDocument/2006/relationships/comments" Target="../comments2.xml"/><Relationship Id="rId3" Type="http://schemas.openxmlformats.org/officeDocument/2006/relationships/hyperlink" Target="https://op.europa.eu/en/publication-detail/-/publication/756d9260-ee54-11ea-991b-01aa75ed71a1" TargetMode="External"/><Relationship Id="rId7" Type="http://schemas.openxmlformats.org/officeDocument/2006/relationships/hyperlink" Target="https://op.europa.eu/en/publication-detail/-/publication/756d9260-ee54-11ea-991b-01aa75ed71a1" TargetMode="External"/><Relationship Id="rId12" Type="http://schemas.openxmlformats.org/officeDocument/2006/relationships/vmlDrawing" Target="../drawings/vmlDrawing2.vml"/><Relationship Id="rId2" Type="http://schemas.openxmlformats.org/officeDocument/2006/relationships/hyperlink" Target="https://eur-lex.europa.eu/eli/reco/2003/361/oj" TargetMode="External"/><Relationship Id="rId1" Type="http://schemas.openxmlformats.org/officeDocument/2006/relationships/hyperlink" Target="https://legislatie.just.ro/Public/DetaliiDocument/209670" TargetMode="External"/><Relationship Id="rId6" Type="http://schemas.openxmlformats.org/officeDocument/2006/relationships/hyperlink" Target="https://legislatie.just.ro/Public/DetaliiDocument/293121" TargetMode="External"/><Relationship Id="rId11" Type="http://schemas.openxmlformats.org/officeDocument/2006/relationships/drawing" Target="../drawings/drawing4.xml"/><Relationship Id="rId5" Type="http://schemas.openxmlformats.org/officeDocument/2006/relationships/hyperlink" Target="https://legislatie.just.ro/Public/DetaliiDocument/53946" TargetMode="External"/><Relationship Id="rId10" Type="http://schemas.openxmlformats.org/officeDocument/2006/relationships/printerSettings" Target="../printerSettings/printerSettings4.bin"/><Relationship Id="rId4" Type="http://schemas.openxmlformats.org/officeDocument/2006/relationships/hyperlink" Target="https://ec.europa.eu/growth/tools-databases/SME-Wizard" TargetMode="External"/><Relationship Id="rId9" Type="http://schemas.openxmlformats.org/officeDocument/2006/relationships/hyperlink" Target="https://legislatie.just.ro/Public/DetaliiDocument/29312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5D33-AEFD-4366-8534-09AAD9ED3F8C}">
  <sheetPr codeName="Foaie1">
    <tabColor theme="7" tint="0.79998168889431442"/>
  </sheetPr>
  <dimension ref="B1:P23"/>
  <sheetViews>
    <sheetView showGridLines="0" zoomScale="70" zoomScaleNormal="70" zoomScaleSheetLayoutView="100" workbookViewId="0">
      <selection activeCell="U22" sqref="U22"/>
    </sheetView>
  </sheetViews>
  <sheetFormatPr defaultColWidth="9.21875" defaultRowHeight="30" customHeight="1"/>
  <cols>
    <col min="1" max="1" width="5.6640625" style="13" customWidth="1"/>
    <col min="2" max="2" width="1.44140625" style="13" customWidth="1"/>
    <col min="3" max="11" width="18.6640625" style="13" customWidth="1"/>
    <col min="12" max="12" width="1.44140625" style="13" customWidth="1"/>
    <col min="13" max="13" width="5.6640625" style="13" customWidth="1"/>
    <col min="14" max="14" width="12.6640625" style="13" hidden="1" customWidth="1"/>
    <col min="15" max="15" width="10.6640625" style="13" hidden="1" customWidth="1"/>
    <col min="16" max="16" width="45.6640625" style="13" hidden="1" customWidth="1"/>
    <col min="17" max="16384" width="9.21875" style="13"/>
  </cols>
  <sheetData>
    <row r="1" spans="2:16" ht="4.95" customHeight="1">
      <c r="B1" s="185"/>
      <c r="C1" s="185"/>
      <c r="D1" s="185"/>
      <c r="E1" s="185"/>
      <c r="F1" s="185"/>
      <c r="G1" s="185"/>
      <c r="H1" s="185"/>
      <c r="I1" s="185"/>
      <c r="J1" s="185"/>
      <c r="K1" s="185"/>
      <c r="L1" s="185"/>
    </row>
    <row r="2" spans="2:16" ht="7.95" customHeight="1">
      <c r="B2" s="185"/>
      <c r="C2" s="185"/>
      <c r="D2" s="185"/>
      <c r="E2" s="185"/>
      <c r="F2" s="185"/>
      <c r="G2" s="185"/>
      <c r="H2" s="185"/>
      <c r="I2" s="185"/>
      <c r="J2" s="185"/>
      <c r="K2" s="185"/>
      <c r="L2" s="185"/>
    </row>
    <row r="3" spans="2:16" s="11" customFormat="1" ht="30" customHeight="1">
      <c r="B3" s="183"/>
      <c r="C3" s="236"/>
      <c r="D3" s="232"/>
      <c r="E3" s="236"/>
      <c r="F3" s="236"/>
      <c r="G3" s="236"/>
      <c r="H3" s="236"/>
      <c r="I3" s="236"/>
      <c r="J3" s="237"/>
      <c r="K3" s="236"/>
      <c r="L3" s="183"/>
      <c r="N3" s="13"/>
      <c r="O3" s="13"/>
      <c r="P3" s="13"/>
    </row>
    <row r="4" spans="2:16" s="11" customFormat="1" ht="30" customHeight="1">
      <c r="B4" s="183"/>
      <c r="C4" s="236"/>
      <c r="D4" s="238"/>
      <c r="E4" s="236"/>
      <c r="F4" s="236"/>
      <c r="G4" s="236"/>
      <c r="H4" s="236"/>
      <c r="I4" s="236"/>
      <c r="J4" s="237"/>
      <c r="K4" s="236"/>
      <c r="L4" s="183"/>
      <c r="N4" s="13"/>
      <c r="O4" s="13"/>
      <c r="P4" s="13"/>
    </row>
    <row r="5" spans="2:16" s="11" customFormat="1" ht="30" customHeight="1" thickBot="1">
      <c r="B5" s="183"/>
      <c r="C5" s="386"/>
      <c r="D5" s="387"/>
      <c r="E5" s="386"/>
      <c r="F5" s="386"/>
      <c r="G5" s="386"/>
      <c r="H5" s="386"/>
      <c r="I5" s="386"/>
      <c r="J5" s="386"/>
      <c r="K5" s="386"/>
      <c r="L5" s="183"/>
      <c r="N5" s="13"/>
      <c r="O5" s="13"/>
      <c r="P5" s="13"/>
    </row>
    <row r="6" spans="2:16" s="8" customFormat="1" ht="10.050000000000001" customHeight="1" thickTop="1">
      <c r="B6" s="184"/>
      <c r="C6" s="239"/>
      <c r="D6" s="232"/>
      <c r="E6" s="232"/>
      <c r="F6" s="232"/>
      <c r="G6" s="232"/>
      <c r="H6" s="232"/>
      <c r="I6" s="232"/>
      <c r="J6" s="237"/>
      <c r="K6" s="240"/>
      <c r="L6" s="184"/>
    </row>
    <row r="7" spans="2:16" ht="20.100000000000001" customHeight="1" thickBot="1">
      <c r="B7" s="185"/>
      <c r="C7" s="241"/>
      <c r="D7" s="242"/>
      <c r="E7" s="242"/>
      <c r="F7" s="242"/>
      <c r="G7" s="242"/>
      <c r="H7" s="242"/>
      <c r="I7" s="242"/>
      <c r="J7" s="242"/>
      <c r="K7" s="242"/>
      <c r="L7" s="185"/>
    </row>
    <row r="8" spans="2:16" ht="40.049999999999997" customHeight="1">
      <c r="B8" s="185"/>
      <c r="C8" s="511" t="s">
        <v>306</v>
      </c>
      <c r="D8" s="511"/>
      <c r="E8" s="511"/>
      <c r="F8" s="511"/>
      <c r="G8" s="511"/>
      <c r="H8" s="511"/>
      <c r="I8" s="511"/>
      <c r="J8" s="511"/>
      <c r="K8" s="511"/>
      <c r="L8" s="185"/>
      <c r="N8" s="514" t="s">
        <v>309</v>
      </c>
      <c r="O8" s="515"/>
      <c r="P8" s="516"/>
    </row>
    <row r="9" spans="2:16" ht="30" customHeight="1" thickBot="1">
      <c r="B9" s="185"/>
      <c r="C9" s="512" t="s">
        <v>616</v>
      </c>
      <c r="D9" s="512"/>
      <c r="E9" s="512"/>
      <c r="F9" s="512"/>
      <c r="G9" s="512"/>
      <c r="H9" s="512"/>
      <c r="I9" s="512"/>
      <c r="J9" s="512"/>
      <c r="K9" s="512"/>
      <c r="L9" s="185"/>
      <c r="N9" s="388" t="s">
        <v>310</v>
      </c>
      <c r="O9" s="389" t="s">
        <v>311</v>
      </c>
      <c r="P9" s="390" t="s">
        <v>312</v>
      </c>
    </row>
    <row r="10" spans="2:16" ht="20.100000000000001" customHeight="1" thickTop="1">
      <c r="B10" s="185"/>
      <c r="C10" s="513" t="s">
        <v>307</v>
      </c>
      <c r="D10" s="513"/>
      <c r="E10" s="513"/>
      <c r="F10" s="513"/>
      <c r="G10" s="513"/>
      <c r="H10" s="513"/>
      <c r="I10" s="513"/>
      <c r="J10" s="513"/>
      <c r="K10" s="513"/>
      <c r="L10" s="185"/>
      <c r="N10" s="14">
        <v>45566</v>
      </c>
      <c r="O10" s="15" t="s">
        <v>0</v>
      </c>
      <c r="P10" s="16" t="s">
        <v>313</v>
      </c>
    </row>
    <row r="11" spans="2:16" ht="20.100000000000001" customHeight="1">
      <c r="B11" s="185"/>
      <c r="C11" s="243"/>
      <c r="D11" s="243"/>
      <c r="E11" s="243"/>
      <c r="F11" s="243"/>
      <c r="G11" s="243"/>
      <c r="H11" s="243"/>
      <c r="I11" s="243"/>
      <c r="J11" s="243"/>
      <c r="K11" s="243"/>
      <c r="L11" s="185"/>
      <c r="N11" s="17">
        <v>45299</v>
      </c>
      <c r="O11" s="18" t="s">
        <v>276</v>
      </c>
      <c r="P11" s="19" t="s">
        <v>314</v>
      </c>
    </row>
    <row r="12" spans="2:16" ht="20.100000000000001" customHeight="1">
      <c r="B12" s="185"/>
      <c r="C12" s="509" t="s">
        <v>308</v>
      </c>
      <c r="D12" s="510"/>
      <c r="E12" s="510"/>
      <c r="F12" s="510"/>
      <c r="G12" s="510"/>
      <c r="H12" s="510"/>
      <c r="I12" s="510"/>
      <c r="J12" s="510"/>
      <c r="K12" s="510"/>
      <c r="L12" s="185"/>
      <c r="N12" s="17">
        <v>45853</v>
      </c>
      <c r="O12" s="18" t="s">
        <v>277</v>
      </c>
      <c r="P12" s="20" t="s">
        <v>315</v>
      </c>
    </row>
    <row r="13" spans="2:16" ht="20.55" customHeight="1">
      <c r="B13" s="185"/>
      <c r="C13" s="510"/>
      <c r="D13" s="510"/>
      <c r="E13" s="510"/>
      <c r="F13" s="510"/>
      <c r="G13" s="510"/>
      <c r="H13" s="510"/>
      <c r="I13" s="510"/>
      <c r="J13" s="510"/>
      <c r="K13" s="510"/>
      <c r="L13" s="185"/>
      <c r="N13" s="17">
        <v>45876</v>
      </c>
      <c r="O13" s="18" t="s">
        <v>1</v>
      </c>
      <c r="P13" s="20" t="s">
        <v>316</v>
      </c>
    </row>
    <row r="14" spans="2:16" ht="20.100000000000001" customHeight="1">
      <c r="B14" s="185"/>
      <c r="C14" s="510"/>
      <c r="D14" s="510"/>
      <c r="E14" s="510"/>
      <c r="F14" s="510"/>
      <c r="G14" s="510"/>
      <c r="H14" s="510"/>
      <c r="I14" s="510"/>
      <c r="J14" s="510"/>
      <c r="K14" s="510"/>
      <c r="L14" s="185"/>
      <c r="N14" s="17">
        <v>45898</v>
      </c>
      <c r="O14" s="18" t="s">
        <v>305</v>
      </c>
      <c r="P14" s="20" t="s">
        <v>293</v>
      </c>
    </row>
    <row r="15" spans="2:16" ht="20.100000000000001" customHeight="1">
      <c r="B15" s="185"/>
      <c r="C15" s="510"/>
      <c r="D15" s="510"/>
      <c r="E15" s="510"/>
      <c r="F15" s="510"/>
      <c r="G15" s="510"/>
      <c r="H15" s="510"/>
      <c r="I15" s="510"/>
      <c r="J15" s="510"/>
      <c r="K15" s="510"/>
      <c r="L15" s="185"/>
      <c r="N15" s="17">
        <v>45912</v>
      </c>
      <c r="O15" s="18" t="s">
        <v>630</v>
      </c>
      <c r="P15" s="20" t="s">
        <v>293</v>
      </c>
    </row>
    <row r="16" spans="2:16" ht="20.100000000000001" customHeight="1" thickBot="1">
      <c r="B16" s="185"/>
      <c r="C16" s="510"/>
      <c r="D16" s="510"/>
      <c r="E16" s="510"/>
      <c r="F16" s="510"/>
      <c r="G16" s="510"/>
      <c r="H16" s="510"/>
      <c r="I16" s="510"/>
      <c r="J16" s="510"/>
      <c r="K16" s="510"/>
      <c r="L16" s="185"/>
      <c r="N16" s="491">
        <v>45915</v>
      </c>
      <c r="O16" s="21" t="s">
        <v>631</v>
      </c>
      <c r="P16" s="22" t="s">
        <v>317</v>
      </c>
    </row>
    <row r="17" spans="2:12" ht="20.100000000000001" customHeight="1" thickTop="1">
      <c r="B17" s="185"/>
      <c r="C17" s="510"/>
      <c r="D17" s="510"/>
      <c r="E17" s="510"/>
      <c r="F17" s="510"/>
      <c r="G17" s="510"/>
      <c r="H17" s="510"/>
      <c r="I17" s="510"/>
      <c r="J17" s="510"/>
      <c r="K17" s="510"/>
      <c r="L17" s="185"/>
    </row>
    <row r="18" spans="2:12" ht="20.100000000000001" customHeight="1">
      <c r="B18" s="185"/>
      <c r="C18" s="510"/>
      <c r="D18" s="510"/>
      <c r="E18" s="510"/>
      <c r="F18" s="510"/>
      <c r="G18" s="510"/>
      <c r="H18" s="510"/>
      <c r="I18" s="510"/>
      <c r="J18" s="510"/>
      <c r="K18" s="510"/>
      <c r="L18" s="185"/>
    </row>
    <row r="19" spans="2:12" ht="20.100000000000001" customHeight="1">
      <c r="B19" s="185"/>
      <c r="C19" s="244"/>
      <c r="D19" s="244"/>
      <c r="E19" s="245"/>
      <c r="F19" s="245"/>
      <c r="G19" s="12" t="s">
        <v>2</v>
      </c>
      <c r="H19" s="244"/>
      <c r="I19" s="244"/>
      <c r="J19" s="244"/>
      <c r="K19" s="244"/>
      <c r="L19" s="185"/>
    </row>
    <row r="20" spans="2:12" ht="21" customHeight="1">
      <c r="B20" s="185"/>
      <c r="C20" s="185"/>
      <c r="D20" s="185"/>
      <c r="E20" s="185"/>
      <c r="F20" s="185"/>
      <c r="G20" s="185"/>
      <c r="H20" s="185"/>
      <c r="I20" s="185"/>
      <c r="J20" s="185"/>
      <c r="K20" s="185"/>
      <c r="L20" s="185"/>
    </row>
    <row r="21" spans="2:12" s="11" customFormat="1" ht="4.95" customHeight="1"/>
    <row r="22" spans="2:12" s="11" customFormat="1" ht="15" customHeight="1"/>
    <row r="23" spans="2:12" s="11" customFormat="1" ht="15" customHeight="1"/>
  </sheetData>
  <sheetProtection algorithmName="SHA-512" hashValue="GqVoXSuRn74d3XoEd5DP0OxQrSDatZPNaB4caoHtm4BsLBlbRoDEhnb9eR1Fde4DzP4MIwrLcJy2EEb+D78lVg==" saltValue="X/h6eMLEmbOsxAzwJQO88Q==" spinCount="100000" sheet="1" selectLockedCells="1"/>
  <mergeCells count="5">
    <mergeCell ref="N8:P8"/>
    <mergeCell ref="C12:K18"/>
    <mergeCell ref="C8:K8"/>
    <mergeCell ref="C9:K9"/>
    <mergeCell ref="C10:K10"/>
  </mergeCells>
  <conditionalFormatting sqref="J3:J6">
    <cfRule type="containsText" dxfId="58" priority="1" operator="containsText" text="Urmăriți vă rog respectarea termenului.">
      <formula>NOT(ISERROR(SEARCH("Urmăriți vă rog respectarea termenului.",J3)))</formula>
    </cfRule>
  </conditionalFormatting>
  <pageMargins left="0.98425196850393704" right="0.59055118110236227" top="0.70866141732283472" bottom="0.70866141732283472" header="0.27559055118110237" footer="0.23622047244094491"/>
  <pageSetup paperSize="9" scale="75" orientation="landscape" r:id="rId1"/>
  <headerFooter differentFirst="1">
    <oddHeader xml:space="preserve">&amp;C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5D81-D04F-4947-A838-9DE4AB413BF7}">
  <sheetPr codeName="Foaie2">
    <tabColor theme="7" tint="0.79998168889431442"/>
  </sheetPr>
  <dimension ref="C1:P48"/>
  <sheetViews>
    <sheetView showGridLines="0" zoomScaleNormal="100" zoomScaleSheetLayoutView="100" workbookViewId="0">
      <selection activeCell="P2" sqref="P2"/>
    </sheetView>
  </sheetViews>
  <sheetFormatPr defaultColWidth="8.5546875" defaultRowHeight="20.100000000000001" customHeight="1"/>
  <cols>
    <col min="1" max="1" width="1.6640625" style="8" customWidth="1"/>
    <col min="2" max="2" width="3.6640625" style="8" customWidth="1"/>
    <col min="3" max="16" width="12.5546875" style="8" customWidth="1"/>
    <col min="17" max="17" width="3.6640625" style="8" customWidth="1"/>
    <col min="18" max="16384" width="8.5546875" style="8"/>
  </cols>
  <sheetData>
    <row r="1" spans="3:16" s="393" customFormat="1" ht="20.100000000000001" customHeight="1"/>
    <row r="2" spans="3:16" s="393" customFormat="1" ht="75" customHeight="1">
      <c r="O2" s="394" t="s">
        <v>318</v>
      </c>
      <c r="P2" s="395" t="str">
        <f>CONCATENATE(Introduction!O16,"_",Introduction!N16)</f>
        <v>V2.1 ENG_45915</v>
      </c>
    </row>
    <row r="3" spans="3:16" s="393" customFormat="1" ht="20.100000000000001" customHeight="1"/>
    <row r="4" spans="3:16" s="393" customFormat="1" ht="80.099999999999994" customHeight="1">
      <c r="C4" s="526" t="s">
        <v>615</v>
      </c>
      <c r="D4" s="527"/>
      <c r="E4" s="527"/>
      <c r="F4" s="527"/>
      <c r="G4" s="527"/>
      <c r="H4" s="527"/>
      <c r="I4" s="527"/>
      <c r="J4" s="527"/>
      <c r="K4" s="527"/>
      <c r="L4" s="527"/>
      <c r="M4" s="527"/>
      <c r="N4" s="527"/>
      <c r="O4" s="527"/>
      <c r="P4" s="527"/>
    </row>
    <row r="5" spans="3:16" s="393" customFormat="1" ht="20.100000000000001" customHeight="1">
      <c r="P5" s="396"/>
    </row>
    <row r="6" spans="3:16" ht="20.100000000000001" customHeight="1">
      <c r="C6" s="528" t="s">
        <v>319</v>
      </c>
      <c r="D6" s="520"/>
      <c r="E6" s="520"/>
      <c r="F6" s="520"/>
      <c r="G6" s="520"/>
      <c r="H6" s="520"/>
      <c r="I6" s="520"/>
      <c r="J6" s="520"/>
      <c r="K6" s="520"/>
      <c r="L6" s="520"/>
      <c r="M6" s="520"/>
      <c r="N6" s="520"/>
      <c r="O6" s="520"/>
      <c r="P6" s="520"/>
    </row>
    <row r="7" spans="3:16" ht="48" customHeight="1">
      <c r="C7" s="520" t="s">
        <v>320</v>
      </c>
      <c r="D7" s="520"/>
      <c r="E7" s="520"/>
      <c r="F7" s="520"/>
      <c r="G7" s="520"/>
      <c r="H7" s="520"/>
      <c r="I7" s="520"/>
      <c r="J7" s="520"/>
      <c r="K7" s="520"/>
      <c r="L7" s="520"/>
      <c r="M7" s="520"/>
      <c r="N7" s="520"/>
      <c r="O7" s="520"/>
      <c r="P7" s="520"/>
    </row>
    <row r="8" spans="3:16" ht="60" customHeight="1">
      <c r="C8" s="529" t="s">
        <v>321</v>
      </c>
      <c r="D8" s="529"/>
      <c r="E8" s="529"/>
      <c r="F8" s="529"/>
      <c r="G8" s="529"/>
      <c r="H8" s="529"/>
      <c r="I8" s="529"/>
      <c r="J8" s="529"/>
      <c r="K8" s="529"/>
      <c r="L8" s="529"/>
      <c r="M8" s="529"/>
      <c r="N8" s="529"/>
      <c r="O8" s="529"/>
      <c r="P8" s="529"/>
    </row>
    <row r="9" spans="3:16" ht="33.6" customHeight="1">
      <c r="C9" s="529" t="s">
        <v>322</v>
      </c>
      <c r="D9" s="529"/>
      <c r="E9" s="529"/>
      <c r="F9" s="529"/>
      <c r="G9" s="529"/>
      <c r="H9" s="529"/>
      <c r="I9" s="529"/>
      <c r="J9" s="529"/>
      <c r="K9" s="529"/>
      <c r="L9" s="529"/>
      <c r="M9" s="529"/>
      <c r="N9" s="529"/>
      <c r="O9" s="529"/>
      <c r="P9" s="529"/>
    </row>
    <row r="10" spans="3:16" ht="40.049999999999997" customHeight="1">
      <c r="C10" s="523" t="s">
        <v>323</v>
      </c>
      <c r="D10" s="523"/>
      <c r="E10" s="523"/>
      <c r="F10" s="523"/>
      <c r="G10" s="523"/>
      <c r="H10" s="523"/>
      <c r="I10" s="523"/>
      <c r="J10" s="523"/>
      <c r="K10" s="523"/>
      <c r="L10" s="523"/>
      <c r="M10" s="523"/>
      <c r="N10" s="523"/>
      <c r="O10" s="523"/>
      <c r="P10" s="523"/>
    </row>
    <row r="11" spans="3:16" ht="34.950000000000003" customHeight="1">
      <c r="C11" s="531" t="s">
        <v>324</v>
      </c>
      <c r="D11" s="531"/>
      <c r="E11" s="531"/>
      <c r="F11" s="531"/>
      <c r="G11" s="531"/>
      <c r="H11" s="531"/>
      <c r="I11" s="531"/>
      <c r="J11" s="531"/>
      <c r="K11" s="531"/>
      <c r="L11" s="531"/>
      <c r="M11" s="531"/>
      <c r="N11" s="531"/>
      <c r="O11" s="531"/>
      <c r="P11" s="531"/>
    </row>
    <row r="12" spans="3:16" ht="20.100000000000001" customHeight="1">
      <c r="C12" s="536" t="s">
        <v>325</v>
      </c>
      <c r="D12" s="536"/>
      <c r="E12" s="536"/>
      <c r="F12" s="536"/>
      <c r="G12" s="536"/>
      <c r="H12" s="536"/>
      <c r="I12" s="536"/>
      <c r="J12" s="536"/>
      <c r="K12" s="536"/>
      <c r="L12" s="536"/>
      <c r="M12" s="536"/>
      <c r="N12" s="536"/>
      <c r="O12" s="536"/>
      <c r="P12" s="536"/>
    </row>
    <row r="13" spans="3:16" ht="20.100000000000001" customHeight="1">
      <c r="C13" s="9"/>
      <c r="D13" s="534" t="s">
        <v>326</v>
      </c>
      <c r="E13" s="534"/>
      <c r="F13" s="534"/>
      <c r="G13" s="534"/>
      <c r="H13" s="534"/>
      <c r="I13" s="534"/>
      <c r="J13" s="534"/>
      <c r="K13" s="534"/>
      <c r="L13" s="534"/>
      <c r="M13" s="534"/>
      <c r="N13" s="534"/>
      <c r="O13" s="534"/>
      <c r="P13" s="534"/>
    </row>
    <row r="14" spans="3:16" ht="20.100000000000001" customHeight="1">
      <c r="C14" s="9"/>
      <c r="D14" s="520" t="s">
        <v>327</v>
      </c>
      <c r="E14" s="520"/>
      <c r="F14" s="520"/>
      <c r="G14" s="520"/>
      <c r="H14" s="520"/>
      <c r="I14" s="520"/>
      <c r="J14" s="520"/>
      <c r="K14" s="520"/>
      <c r="L14" s="520"/>
      <c r="M14" s="520"/>
      <c r="N14" s="520"/>
      <c r="O14" s="520"/>
      <c r="P14" s="520"/>
    </row>
    <row r="15" spans="3:16" ht="35.4" customHeight="1">
      <c r="C15" s="9"/>
      <c r="D15" s="530" t="s">
        <v>328</v>
      </c>
      <c r="E15" s="530"/>
      <c r="F15" s="530"/>
      <c r="G15" s="530"/>
      <c r="H15" s="530"/>
      <c r="I15" s="530"/>
      <c r="J15" s="530"/>
      <c r="K15" s="530"/>
      <c r="L15" s="530"/>
      <c r="M15" s="530"/>
      <c r="N15" s="530"/>
      <c r="O15" s="530"/>
      <c r="P15" s="530"/>
    </row>
    <row r="16" spans="3:16" ht="20.100000000000001" customHeight="1">
      <c r="C16" s="9"/>
      <c r="D16" s="534" t="s">
        <v>329</v>
      </c>
      <c r="E16" s="534"/>
      <c r="F16" s="534"/>
      <c r="G16" s="534"/>
      <c r="H16" s="534"/>
      <c r="I16" s="534"/>
      <c r="J16" s="534"/>
      <c r="K16" s="534"/>
      <c r="L16" s="534"/>
      <c r="M16" s="534"/>
      <c r="N16" s="534"/>
      <c r="O16" s="534"/>
      <c r="P16" s="534"/>
    </row>
    <row r="17" spans="3:16" ht="35.4" customHeight="1">
      <c r="C17" s="9"/>
      <c r="D17" s="520" t="s">
        <v>330</v>
      </c>
      <c r="E17" s="520"/>
      <c r="F17" s="520"/>
      <c r="G17" s="520"/>
      <c r="H17" s="520"/>
      <c r="I17" s="520"/>
      <c r="J17" s="520"/>
      <c r="K17" s="520"/>
      <c r="L17" s="520"/>
      <c r="M17" s="520"/>
      <c r="N17" s="520"/>
      <c r="O17" s="520"/>
      <c r="P17" s="520"/>
    </row>
    <row r="18" spans="3:16" ht="20.100000000000001" customHeight="1">
      <c r="C18" s="536" t="s">
        <v>331</v>
      </c>
      <c r="D18" s="536"/>
      <c r="E18" s="536"/>
      <c r="F18" s="536"/>
      <c r="G18" s="536"/>
      <c r="H18" s="536"/>
      <c r="I18" s="536"/>
      <c r="J18" s="536"/>
      <c r="K18" s="536"/>
      <c r="L18" s="536"/>
      <c r="M18" s="536"/>
      <c r="N18" s="536"/>
      <c r="O18" s="536"/>
      <c r="P18" s="536"/>
    </row>
    <row r="19" spans="3:16" ht="20.100000000000001" customHeight="1">
      <c r="C19" s="9"/>
      <c r="D19" s="534" t="s">
        <v>332</v>
      </c>
      <c r="E19" s="534"/>
      <c r="F19" s="534"/>
      <c r="G19" s="534"/>
      <c r="H19" s="534"/>
      <c r="I19" s="534"/>
      <c r="J19" s="534"/>
      <c r="K19" s="534"/>
      <c r="L19" s="534"/>
      <c r="M19" s="534"/>
      <c r="N19" s="534"/>
      <c r="O19" s="534"/>
      <c r="P19" s="534"/>
    </row>
    <row r="20" spans="3:16" ht="33.6" customHeight="1">
      <c r="D20" s="520" t="s">
        <v>333</v>
      </c>
      <c r="E20" s="520"/>
      <c r="F20" s="520"/>
      <c r="G20" s="520"/>
      <c r="H20" s="520"/>
      <c r="I20" s="520"/>
      <c r="J20" s="520"/>
      <c r="K20" s="520"/>
      <c r="L20" s="520"/>
      <c r="M20" s="520"/>
      <c r="N20" s="520"/>
      <c r="O20" s="520"/>
      <c r="P20" s="520"/>
    </row>
    <row r="21" spans="3:16" ht="40.049999999999997" customHeight="1">
      <c r="D21" s="530" t="s">
        <v>617</v>
      </c>
      <c r="E21" s="530"/>
      <c r="F21" s="530"/>
      <c r="G21" s="530"/>
      <c r="H21" s="530"/>
      <c r="I21" s="530"/>
      <c r="J21" s="530"/>
      <c r="K21" s="530"/>
      <c r="L21" s="530"/>
      <c r="M21" s="530"/>
      <c r="N21" s="530"/>
      <c r="O21" s="530"/>
      <c r="P21" s="530"/>
    </row>
    <row r="22" spans="3:16" ht="20.100000000000001" customHeight="1">
      <c r="D22" s="534" t="s">
        <v>334</v>
      </c>
      <c r="E22" s="534"/>
      <c r="F22" s="534"/>
      <c r="G22" s="534"/>
      <c r="H22" s="534"/>
      <c r="I22" s="534"/>
      <c r="J22" s="534"/>
      <c r="K22" s="534"/>
      <c r="L22" s="534"/>
      <c r="M22" s="534"/>
      <c r="N22" s="534"/>
      <c r="O22" s="534"/>
      <c r="P22" s="534"/>
    </row>
    <row r="23" spans="3:16" ht="20.100000000000001" customHeight="1">
      <c r="D23" s="532" t="s">
        <v>618</v>
      </c>
      <c r="E23" s="532"/>
      <c r="F23" s="532"/>
      <c r="G23" s="532"/>
      <c r="H23" s="532"/>
      <c r="I23" s="532"/>
      <c r="J23" s="532"/>
      <c r="K23" s="532"/>
      <c r="L23" s="532"/>
      <c r="M23" s="532"/>
      <c r="N23" s="532"/>
      <c r="O23" s="532"/>
      <c r="P23" s="532"/>
    </row>
    <row r="24" spans="3:16" s="10" customFormat="1" ht="20.100000000000001" customHeight="1">
      <c r="D24" s="533" t="s">
        <v>335</v>
      </c>
      <c r="E24" s="533"/>
      <c r="F24" s="533"/>
      <c r="G24" s="533"/>
      <c r="H24" s="533"/>
      <c r="I24" s="533"/>
      <c r="J24" s="533"/>
      <c r="K24" s="533"/>
      <c r="L24" s="533"/>
      <c r="M24" s="533"/>
      <c r="N24" s="533"/>
      <c r="O24" s="533"/>
      <c r="P24" s="533"/>
    </row>
    <row r="25" spans="3:16" s="10" customFormat="1" ht="27" customHeight="1">
      <c r="D25" s="520" t="s">
        <v>336</v>
      </c>
      <c r="E25" s="520"/>
      <c r="F25" s="520"/>
      <c r="G25" s="520"/>
      <c r="H25" s="520"/>
      <c r="I25" s="520"/>
      <c r="J25" s="520"/>
      <c r="K25" s="520"/>
      <c r="L25" s="520"/>
      <c r="M25" s="520"/>
      <c r="N25" s="520"/>
      <c r="O25" s="520"/>
      <c r="P25" s="520"/>
    </row>
    <row r="26" spans="3:16" ht="20.100000000000001" customHeight="1">
      <c r="D26" s="534" t="s">
        <v>632</v>
      </c>
      <c r="E26" s="534"/>
      <c r="F26" s="534"/>
      <c r="G26" s="534"/>
      <c r="H26" s="534"/>
      <c r="I26" s="534"/>
      <c r="J26" s="534"/>
      <c r="K26" s="506"/>
      <c r="L26" s="506"/>
      <c r="M26" s="506"/>
      <c r="N26" s="506"/>
      <c r="O26" s="506"/>
      <c r="P26" s="506"/>
    </row>
    <row r="27" spans="3:16" ht="20.100000000000001" customHeight="1">
      <c r="D27" s="532" t="s">
        <v>339</v>
      </c>
      <c r="E27" s="532"/>
      <c r="F27" s="532"/>
      <c r="G27" s="532"/>
      <c r="H27" s="532"/>
      <c r="I27" s="532"/>
      <c r="J27" s="532"/>
      <c r="K27" s="532"/>
      <c r="L27" s="532"/>
      <c r="M27" s="532"/>
      <c r="N27" s="532"/>
      <c r="O27" s="532"/>
      <c r="P27" s="532"/>
    </row>
    <row r="28" spans="3:16" ht="44.4" customHeight="1">
      <c r="D28" s="520" t="s">
        <v>340</v>
      </c>
      <c r="E28" s="520"/>
      <c r="F28" s="520"/>
      <c r="G28" s="520"/>
      <c r="H28" s="520"/>
      <c r="I28" s="520"/>
      <c r="J28" s="520"/>
      <c r="K28" s="520"/>
      <c r="L28" s="520"/>
      <c r="M28" s="520"/>
      <c r="N28" s="520"/>
      <c r="O28" s="520"/>
      <c r="P28" s="520"/>
    </row>
    <row r="29" spans="3:16" ht="20.100000000000001" customHeight="1">
      <c r="D29" s="534" t="s">
        <v>633</v>
      </c>
      <c r="E29" s="534"/>
      <c r="F29" s="534"/>
      <c r="G29" s="534"/>
      <c r="H29" s="534"/>
      <c r="I29" s="534"/>
      <c r="J29" s="506"/>
      <c r="K29" s="506"/>
      <c r="L29" s="506"/>
      <c r="M29" s="506"/>
      <c r="N29" s="506"/>
      <c r="O29" s="506"/>
      <c r="P29" s="506"/>
    </row>
    <row r="30" spans="3:16" ht="16.8" customHeight="1">
      <c r="D30" s="532" t="s">
        <v>341</v>
      </c>
      <c r="E30" s="532"/>
      <c r="F30" s="532"/>
      <c r="G30" s="532"/>
      <c r="H30" s="532"/>
      <c r="I30" s="532"/>
      <c r="J30" s="532"/>
      <c r="K30" s="532"/>
      <c r="L30" s="532"/>
      <c r="M30" s="532"/>
      <c r="N30" s="532"/>
      <c r="O30" s="532"/>
      <c r="P30" s="532"/>
    </row>
    <row r="31" spans="3:16" ht="48" customHeight="1">
      <c r="D31" s="520" t="s">
        <v>342</v>
      </c>
      <c r="E31" s="520"/>
      <c r="F31" s="520"/>
      <c r="G31" s="520"/>
      <c r="H31" s="520"/>
      <c r="I31" s="520"/>
      <c r="J31" s="520"/>
      <c r="K31" s="520"/>
      <c r="L31" s="520"/>
      <c r="M31" s="520"/>
      <c r="N31" s="520"/>
      <c r="O31" s="520"/>
      <c r="P31" s="520"/>
    </row>
    <row r="32" spans="3:16" s="10" customFormat="1" ht="20.100000000000001" customHeight="1">
      <c r="D32" s="534" t="s">
        <v>634</v>
      </c>
      <c r="E32" s="534"/>
      <c r="F32" s="534"/>
      <c r="G32" s="534"/>
      <c r="H32" s="534"/>
      <c r="I32" s="534"/>
      <c r="J32" s="534"/>
      <c r="K32" s="534"/>
      <c r="L32" s="534"/>
      <c r="M32" s="534"/>
      <c r="N32" s="534"/>
      <c r="O32" s="534"/>
      <c r="P32" s="534"/>
    </row>
    <row r="33" spans="3:16" s="10" customFormat="1" ht="40.049999999999997" customHeight="1">
      <c r="D33" s="520" t="s">
        <v>337</v>
      </c>
      <c r="E33" s="520"/>
      <c r="F33" s="520"/>
      <c r="G33" s="520"/>
      <c r="H33" s="520"/>
      <c r="I33" s="520"/>
      <c r="J33" s="520"/>
      <c r="K33" s="520"/>
      <c r="L33" s="520"/>
      <c r="M33" s="520"/>
      <c r="N33" s="520"/>
      <c r="O33" s="520"/>
      <c r="P33" s="520"/>
    </row>
    <row r="34" spans="3:16" s="10" customFormat="1" ht="50.1" customHeight="1">
      <c r="D34" s="520" t="s">
        <v>338</v>
      </c>
      <c r="E34" s="520"/>
      <c r="F34" s="520"/>
      <c r="G34" s="520"/>
      <c r="H34" s="520"/>
      <c r="I34" s="520"/>
      <c r="J34" s="520"/>
      <c r="K34" s="520"/>
      <c r="L34" s="520"/>
      <c r="M34" s="520"/>
      <c r="N34" s="520"/>
      <c r="O34" s="520"/>
      <c r="P34" s="520"/>
    </row>
    <row r="35" spans="3:16" ht="20.100000000000001" customHeight="1">
      <c r="C35" s="522"/>
      <c r="D35" s="522"/>
      <c r="E35" s="522"/>
      <c r="F35" s="522"/>
      <c r="G35" s="522"/>
      <c r="H35" s="522"/>
      <c r="I35" s="522"/>
      <c r="J35" s="522"/>
      <c r="K35" s="522"/>
      <c r="L35" s="522"/>
      <c r="M35" s="522"/>
      <c r="N35" s="522"/>
      <c r="O35" s="522"/>
      <c r="P35" s="522"/>
    </row>
    <row r="36" spans="3:16" ht="20.100000000000001" customHeight="1">
      <c r="C36" s="519" t="s">
        <v>343</v>
      </c>
      <c r="D36" s="519"/>
      <c r="E36" s="519"/>
      <c r="F36" s="519"/>
      <c r="G36" s="519"/>
      <c r="H36" s="519"/>
      <c r="I36" s="519"/>
      <c r="J36" s="519"/>
      <c r="K36" s="519"/>
      <c r="L36" s="519"/>
      <c r="M36" s="519"/>
      <c r="N36" s="519"/>
      <c r="O36" s="519"/>
      <c r="P36" s="519"/>
    </row>
    <row r="37" spans="3:16" ht="60" customHeight="1">
      <c r="C37" s="520" t="s">
        <v>344</v>
      </c>
      <c r="D37" s="520"/>
      <c r="E37" s="520"/>
      <c r="F37" s="520"/>
      <c r="G37" s="520"/>
      <c r="H37" s="520"/>
      <c r="I37" s="520"/>
      <c r="J37" s="520"/>
      <c r="K37" s="520"/>
      <c r="L37" s="520"/>
      <c r="M37" s="520"/>
      <c r="N37" s="520"/>
      <c r="O37" s="520"/>
      <c r="P37" s="520"/>
    </row>
    <row r="38" spans="3:16" s="10" customFormat="1" ht="40.049999999999997" customHeight="1">
      <c r="C38" s="521" t="s">
        <v>345</v>
      </c>
      <c r="D38" s="522"/>
      <c r="E38" s="522"/>
      <c r="F38" s="522"/>
      <c r="G38" s="522"/>
      <c r="H38" s="522"/>
      <c r="I38" s="522"/>
      <c r="J38" s="522"/>
      <c r="K38" s="522"/>
      <c r="L38" s="522"/>
      <c r="M38" s="522"/>
      <c r="N38" s="522"/>
      <c r="O38" s="522"/>
      <c r="P38" s="522"/>
    </row>
    <row r="39" spans="3:16" ht="20.100000000000001" customHeight="1">
      <c r="C39" s="524" t="s">
        <v>346</v>
      </c>
      <c r="D39" s="525"/>
      <c r="E39" s="525"/>
      <c r="F39" s="525"/>
      <c r="G39" s="525"/>
      <c r="H39" s="525"/>
      <c r="I39" s="525"/>
      <c r="J39" s="525"/>
      <c r="K39" s="525"/>
      <c r="L39" s="525"/>
      <c r="M39" s="525"/>
      <c r="N39" s="525"/>
      <c r="O39" s="525"/>
      <c r="P39" s="525"/>
    </row>
    <row r="40" spans="3:16" s="397" customFormat="1" ht="20.100000000000001" customHeight="1">
      <c r="C40" s="535" t="s">
        <v>347</v>
      </c>
      <c r="D40" s="535"/>
      <c r="E40" s="535"/>
      <c r="F40" s="535"/>
      <c r="G40" s="535"/>
      <c r="H40" s="535"/>
      <c r="I40" s="535"/>
      <c r="J40" s="535"/>
      <c r="K40" s="535"/>
      <c r="L40" s="535"/>
      <c r="M40" s="535"/>
      <c r="N40" s="535"/>
      <c r="O40" s="535"/>
      <c r="P40" s="535"/>
    </row>
    <row r="41" spans="3:16" ht="20.100000000000001" customHeight="1">
      <c r="C41" s="519" t="s">
        <v>348</v>
      </c>
      <c r="D41" s="519"/>
      <c r="E41" s="519"/>
      <c r="F41" s="519"/>
      <c r="G41" s="519"/>
      <c r="H41" s="519"/>
      <c r="I41" s="519"/>
      <c r="J41" s="519"/>
      <c r="K41" s="519"/>
      <c r="L41" s="519"/>
      <c r="M41" s="519"/>
      <c r="N41" s="519"/>
      <c r="O41" s="519"/>
      <c r="P41" s="519"/>
    </row>
    <row r="42" spans="3:16" ht="80.099999999999994" customHeight="1">
      <c r="C42" s="523" t="s">
        <v>349</v>
      </c>
      <c r="D42" s="523"/>
      <c r="E42" s="523"/>
      <c r="F42" s="523"/>
      <c r="G42" s="523"/>
      <c r="H42" s="523"/>
      <c r="I42" s="523"/>
      <c r="J42" s="523"/>
      <c r="K42" s="523"/>
      <c r="L42" s="523"/>
      <c r="M42" s="523"/>
      <c r="N42" s="523"/>
      <c r="O42" s="523"/>
      <c r="P42" s="523"/>
    </row>
    <row r="43" spans="3:16" ht="20.100000000000001" customHeight="1">
      <c r="C43" s="519" t="s">
        <v>350</v>
      </c>
      <c r="D43" s="519"/>
      <c r="E43" s="519"/>
      <c r="F43" s="519"/>
      <c r="G43" s="519"/>
      <c r="H43" s="519"/>
      <c r="I43" s="519"/>
      <c r="J43" s="519"/>
      <c r="K43" s="519"/>
      <c r="L43" s="519"/>
      <c r="M43" s="519"/>
      <c r="N43" s="519"/>
      <c r="O43" s="519"/>
      <c r="P43" s="519"/>
    </row>
    <row r="44" spans="3:16" ht="40.049999999999997" customHeight="1">
      <c r="C44" s="517" t="s">
        <v>351</v>
      </c>
      <c r="D44" s="517"/>
      <c r="E44" s="517"/>
      <c r="F44" s="517"/>
      <c r="G44" s="517"/>
      <c r="H44" s="517"/>
      <c r="I44" s="517"/>
      <c r="J44" s="517"/>
      <c r="K44" s="517"/>
      <c r="L44" s="517"/>
      <c r="M44" s="517"/>
      <c r="N44" s="517"/>
      <c r="O44" s="517"/>
      <c r="P44" s="517"/>
    </row>
    <row r="45" spans="3:16" ht="132" customHeight="1">
      <c r="C45" s="518" t="s">
        <v>352</v>
      </c>
      <c r="D45" s="518"/>
      <c r="E45" s="518"/>
      <c r="F45" s="518"/>
      <c r="G45" s="518"/>
      <c r="H45" s="518"/>
      <c r="I45" s="518"/>
      <c r="J45" s="518"/>
      <c r="K45" s="518"/>
      <c r="L45" s="518"/>
      <c r="M45" s="518"/>
      <c r="N45" s="518"/>
      <c r="O45" s="518"/>
      <c r="P45" s="518"/>
    </row>
    <row r="46" spans="3:16" ht="40.049999999999997" customHeight="1">
      <c r="C46" s="520" t="s">
        <v>353</v>
      </c>
      <c r="D46" s="520"/>
      <c r="E46" s="520"/>
      <c r="F46" s="520"/>
      <c r="G46" s="520"/>
      <c r="H46" s="520"/>
      <c r="I46" s="520"/>
      <c r="J46" s="520"/>
      <c r="K46" s="520"/>
      <c r="L46" s="520"/>
      <c r="M46" s="520"/>
      <c r="N46" s="520"/>
      <c r="O46" s="520"/>
      <c r="P46" s="520"/>
    </row>
    <row r="47" spans="3:16" ht="36.6" customHeight="1">
      <c r="C47" s="517" t="s">
        <v>354</v>
      </c>
      <c r="D47" s="517"/>
      <c r="E47" s="517"/>
      <c r="F47" s="517"/>
      <c r="G47" s="517"/>
      <c r="H47" s="517"/>
      <c r="I47" s="517"/>
      <c r="J47" s="517"/>
      <c r="K47" s="517"/>
      <c r="L47" s="517"/>
      <c r="M47" s="517"/>
      <c r="N47" s="517"/>
      <c r="O47" s="517"/>
      <c r="P47" s="517"/>
    </row>
    <row r="48" spans="3:16" s="9" customFormat="1" ht="64.8" customHeight="1">
      <c r="C48" s="518" t="s">
        <v>355</v>
      </c>
      <c r="D48" s="518"/>
      <c r="E48" s="518"/>
      <c r="F48" s="518"/>
      <c r="G48" s="518"/>
      <c r="H48" s="518"/>
      <c r="I48" s="518"/>
      <c r="J48" s="518"/>
      <c r="K48" s="518"/>
      <c r="L48" s="518"/>
      <c r="M48" s="518"/>
      <c r="N48" s="518"/>
      <c r="O48" s="518"/>
      <c r="P48" s="518"/>
    </row>
  </sheetData>
  <sheetProtection algorithmName="SHA-512" hashValue="bohaR98SZ+sPhD2xzgpdq+SahCY7GM1VmmfXcwMyu8fjI9qJakeQnxY5SAvz08yOFTHsYXvwRT3qbpQH5hg1LA==" saltValue="6+MfDVrfTLc8Oh07BYE4OA==" spinCount="100000" sheet="1" insertHyperlinks="0" selectLockedCells="1"/>
  <mergeCells count="44">
    <mergeCell ref="C35:P35"/>
    <mergeCell ref="C40:P40"/>
    <mergeCell ref="C12:P12"/>
    <mergeCell ref="D13:P13"/>
    <mergeCell ref="D16:P16"/>
    <mergeCell ref="C18:P18"/>
    <mergeCell ref="D19:P19"/>
    <mergeCell ref="D21:P21"/>
    <mergeCell ref="D33:P33"/>
    <mergeCell ref="D34:P34"/>
    <mergeCell ref="D30:P30"/>
    <mergeCell ref="D31:P31"/>
    <mergeCell ref="D22:P22"/>
    <mergeCell ref="D32:P32"/>
    <mergeCell ref="D23:P23"/>
    <mergeCell ref="D24:P24"/>
    <mergeCell ref="D25:P25"/>
    <mergeCell ref="D26:J26"/>
    <mergeCell ref="D27:P27"/>
    <mergeCell ref="D28:P28"/>
    <mergeCell ref="D29:I29"/>
    <mergeCell ref="D20:P20"/>
    <mergeCell ref="C4:P4"/>
    <mergeCell ref="C6:P6"/>
    <mergeCell ref="C7:P7"/>
    <mergeCell ref="C8:P8"/>
    <mergeCell ref="D14:P14"/>
    <mergeCell ref="D15:P15"/>
    <mergeCell ref="D17:P17"/>
    <mergeCell ref="C9:P9"/>
    <mergeCell ref="C10:P10"/>
    <mergeCell ref="C11:P11"/>
    <mergeCell ref="C47:P47"/>
    <mergeCell ref="C48:P48"/>
    <mergeCell ref="C36:P36"/>
    <mergeCell ref="C37:P37"/>
    <mergeCell ref="C43:P43"/>
    <mergeCell ref="C45:P45"/>
    <mergeCell ref="C44:P44"/>
    <mergeCell ref="C46:P46"/>
    <mergeCell ref="C38:P38"/>
    <mergeCell ref="C41:P41"/>
    <mergeCell ref="C42:P42"/>
    <mergeCell ref="C39:P39"/>
  </mergeCells>
  <pageMargins left="0.7" right="0.7" top="0.75" bottom="0.75" header="0.3" footer="0.3"/>
  <pageSetup scale="3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CD85D-18EA-4526-8D4E-C6D90834231A}">
  <sheetPr codeName="Foaie7">
    <tabColor theme="7" tint="0.39997558519241921"/>
  </sheetPr>
  <dimension ref="C2:F85"/>
  <sheetViews>
    <sheetView showGridLines="0" zoomScaleNormal="100" zoomScaleSheetLayoutView="100" workbookViewId="0">
      <selection activeCell="D12" sqref="D12"/>
    </sheetView>
  </sheetViews>
  <sheetFormatPr defaultColWidth="8.5546875" defaultRowHeight="20.100000000000001" customHeight="1"/>
  <cols>
    <col min="1" max="1" width="1.6640625" style="8" customWidth="1"/>
    <col min="2" max="2" width="3.6640625" style="8" customWidth="1"/>
    <col min="3" max="3" width="40.6640625" style="8" customWidth="1"/>
    <col min="4" max="4" width="70.6640625" style="8" customWidth="1"/>
    <col min="5" max="5" width="3.5546875" style="8" customWidth="1"/>
    <col min="6" max="6" width="31.5546875" style="8" customWidth="1"/>
    <col min="7" max="7" width="3.6640625" style="8" customWidth="1"/>
    <col min="8" max="16384" width="8.5546875" style="8"/>
  </cols>
  <sheetData>
    <row r="2" spans="3:6" ht="75" customHeight="1" thickBot="1">
      <c r="C2" s="23"/>
      <c r="D2" s="24"/>
      <c r="E2" s="23"/>
      <c r="F2" s="251" t="str">
        <f>CONCATENATE("Versiunea: ",Introduction!O16,"_",Introduction!N16)</f>
        <v>Versiunea: V2.1 ENG_45915</v>
      </c>
    </row>
    <row r="3" spans="3:6" ht="15" thickTop="1"/>
    <row r="4" spans="3:6" ht="80.099999999999994" customHeight="1" thickBot="1">
      <c r="C4" s="541" t="s">
        <v>356</v>
      </c>
      <c r="D4" s="541"/>
      <c r="E4" s="541"/>
      <c r="F4" s="541"/>
    </row>
    <row r="5" spans="3:6" ht="15" thickTop="1"/>
    <row r="6" spans="3:6" ht="60" customHeight="1" thickBot="1">
      <c r="C6" s="542" t="s">
        <v>357</v>
      </c>
      <c r="D6" s="542"/>
      <c r="E6" s="542"/>
      <c r="F6" s="542"/>
    </row>
    <row r="7" spans="3:6" ht="19.95" customHeight="1" thickTop="1">
      <c r="C7" s="480" t="s">
        <v>358</v>
      </c>
      <c r="D7" s="479"/>
      <c r="E7" s="7"/>
      <c r="F7" s="7"/>
    </row>
    <row r="8" spans="3:6" ht="19.95" customHeight="1">
      <c r="C8" s="480" t="s">
        <v>359</v>
      </c>
      <c r="D8" s="478"/>
      <c r="E8" s="7"/>
      <c r="F8" s="7"/>
    </row>
    <row r="9" spans="3:6" ht="10.050000000000001" customHeight="1"/>
    <row r="10" spans="3:6" ht="19.95" customHeight="1">
      <c r="C10" s="25" t="s">
        <v>360</v>
      </c>
    </row>
    <row r="11" spans="3:6" ht="20.100000000000001" customHeight="1" thickBot="1">
      <c r="C11" s="543" t="s">
        <v>579</v>
      </c>
      <c r="D11" s="543"/>
      <c r="F11" s="538" t="s">
        <v>363</v>
      </c>
    </row>
    <row r="12" spans="3:6" ht="40.049999999999997" customHeight="1" thickTop="1">
      <c r="C12" s="186" t="s">
        <v>361</v>
      </c>
      <c r="D12" s="481"/>
      <c r="F12" s="539"/>
    </row>
    <row r="13" spans="3:6" ht="20.100000000000001" customHeight="1">
      <c r="C13" s="187" t="s">
        <v>362</v>
      </c>
      <c r="D13" s="189"/>
      <c r="F13" s="539"/>
    </row>
    <row r="14" spans="3:6" ht="28.35" customHeight="1" thickBot="1">
      <c r="C14" s="188" t="s">
        <v>364</v>
      </c>
      <c r="D14" s="190"/>
      <c r="F14" s="539"/>
    </row>
    <row r="15" spans="3:6" ht="20.100000000000001" customHeight="1" thickBot="1">
      <c r="C15" s="540" t="s">
        <v>365</v>
      </c>
      <c r="D15" s="540"/>
      <c r="F15" s="27"/>
    </row>
    <row r="16" spans="3:6" ht="20.100000000000001" customHeight="1" thickTop="1">
      <c r="C16" s="186" t="s">
        <v>366</v>
      </c>
      <c r="D16" s="194"/>
      <c r="F16" s="27"/>
    </row>
    <row r="17" spans="3:6" ht="20.100000000000001" customHeight="1">
      <c r="C17" s="187" t="s">
        <v>367</v>
      </c>
      <c r="D17" s="195"/>
    </row>
    <row r="18" spans="3:6" ht="20.100000000000001" customHeight="1">
      <c r="C18" s="187" t="s">
        <v>619</v>
      </c>
      <c r="D18" s="195"/>
      <c r="F18" s="28"/>
    </row>
    <row r="19" spans="3:6" ht="20.100000000000001" customHeight="1">
      <c r="C19" s="187" t="s">
        <v>368</v>
      </c>
      <c r="D19" s="309">
        <v>4</v>
      </c>
      <c r="F19" s="28"/>
    </row>
    <row r="20" spans="3:6" ht="20.100000000000001" customHeight="1">
      <c r="C20" s="193" t="s">
        <v>369</v>
      </c>
      <c r="D20" s="197"/>
    </row>
    <row r="21" spans="3:6" ht="20.100000000000001" customHeight="1">
      <c r="C21" s="193" t="s">
        <v>370</v>
      </c>
      <c r="D21" s="197"/>
    </row>
    <row r="22" spans="3:6" ht="20.100000000000001" customHeight="1">
      <c r="C22" s="193" t="s">
        <v>371</v>
      </c>
      <c r="D22" s="197"/>
    </row>
    <row r="23" spans="3:6" ht="20.100000000000001" customHeight="1">
      <c r="C23" s="193" t="s">
        <v>620</v>
      </c>
      <c r="D23" s="197"/>
    </row>
    <row r="24" spans="3:6" ht="20.100000000000001" customHeight="1">
      <c r="C24" s="193" t="s">
        <v>372</v>
      </c>
      <c r="D24" s="197"/>
    </row>
    <row r="25" spans="3:6" ht="20.100000000000001" customHeight="1">
      <c r="C25" s="193" t="s">
        <v>621</v>
      </c>
      <c r="D25" s="197"/>
    </row>
    <row r="26" spans="3:6" ht="20.100000000000001" customHeight="1">
      <c r="C26" s="187" t="s">
        <v>373</v>
      </c>
      <c r="D26" s="189"/>
      <c r="F26" s="28"/>
    </row>
    <row r="27" spans="3:6" ht="20.100000000000001" customHeight="1">
      <c r="C27" s="187" t="s">
        <v>374</v>
      </c>
      <c r="D27" s="308"/>
      <c r="F27" s="28"/>
    </row>
    <row r="28" spans="3:6" ht="20.100000000000001" customHeight="1">
      <c r="C28" s="187" t="s">
        <v>375</v>
      </c>
      <c r="D28" s="308"/>
      <c r="F28" s="28"/>
    </row>
    <row r="29" spans="3:6" ht="20.100000000000001" customHeight="1">
      <c r="C29" s="187" t="s">
        <v>376</v>
      </c>
      <c r="D29" s="198"/>
      <c r="F29" s="28"/>
    </row>
    <row r="30" spans="3:6" ht="20.100000000000001" customHeight="1" thickBot="1">
      <c r="C30" s="191" t="s">
        <v>377</v>
      </c>
      <c r="D30" s="190"/>
      <c r="F30" s="28"/>
    </row>
    <row r="31" spans="3:6" ht="20.100000000000001" customHeight="1" thickBot="1">
      <c r="C31" s="540" t="s">
        <v>378</v>
      </c>
      <c r="D31" s="540"/>
    </row>
    <row r="32" spans="3:6" ht="20.100000000000001" customHeight="1">
      <c r="C32" s="192" t="s">
        <v>379</v>
      </c>
      <c r="D32" s="196"/>
    </row>
    <row r="33" spans="3:5" ht="36" customHeight="1" thickBot="1">
      <c r="C33" s="191" t="s">
        <v>627</v>
      </c>
      <c r="D33" s="482"/>
    </row>
    <row r="34" spans="3:5" s="31" customFormat="1" ht="10.050000000000001" customHeight="1">
      <c r="C34" s="29"/>
      <c r="D34" s="30"/>
    </row>
    <row r="35" spans="3:5" ht="20.100000000000001" customHeight="1">
      <c r="C35" s="544" t="s">
        <v>380</v>
      </c>
      <c r="D35" s="544"/>
    </row>
    <row r="36" spans="3:5" ht="20.100000000000001" customHeight="1" thickBot="1">
      <c r="C36" s="540" t="s">
        <v>381</v>
      </c>
      <c r="D36" s="540"/>
    </row>
    <row r="37" spans="3:5" ht="30" customHeight="1">
      <c r="C37" s="477" t="s">
        <v>382</v>
      </c>
      <c r="D37" s="488" t="s">
        <v>383</v>
      </c>
    </row>
    <row r="38" spans="3:5" ht="20.100000000000001" customHeight="1">
      <c r="C38" s="304" t="s">
        <v>385</v>
      </c>
      <c r="D38" s="306"/>
    </row>
    <row r="39" spans="3:5" ht="20.100000000000001" customHeight="1">
      <c r="C39" s="305" t="s">
        <v>386</v>
      </c>
      <c r="D39" s="198"/>
    </row>
    <row r="40" spans="3:5" ht="20.100000000000001" customHeight="1">
      <c r="C40" s="305" t="s">
        <v>387</v>
      </c>
      <c r="D40" s="198"/>
    </row>
    <row r="41" spans="3:5" ht="20.100000000000001" customHeight="1">
      <c r="C41" s="304" t="s">
        <v>374</v>
      </c>
      <c r="D41" s="307"/>
    </row>
    <row r="42" spans="3:5" ht="20.100000000000001" customHeight="1" thickBot="1">
      <c r="C42" s="310" t="s">
        <v>377</v>
      </c>
      <c r="D42" s="190"/>
    </row>
    <row r="43" spans="3:5" ht="20.100000000000001" customHeight="1">
      <c r="C43" s="545" t="s">
        <v>388</v>
      </c>
      <c r="D43" s="545"/>
    </row>
    <row r="44" spans="3:5" ht="20.100000000000001" customHeight="1" thickBot="1">
      <c r="C44" s="32" t="s">
        <v>389</v>
      </c>
      <c r="D44" s="33"/>
    </row>
    <row r="45" spans="3:5" ht="30" customHeight="1">
      <c r="C45" s="477" t="s">
        <v>382</v>
      </c>
      <c r="D45" s="487" t="s">
        <v>547</v>
      </c>
    </row>
    <row r="46" spans="3:5" ht="20.100000000000001" customHeight="1">
      <c r="C46" s="199" t="s">
        <v>622</v>
      </c>
      <c r="D46" s="200"/>
    </row>
    <row r="47" spans="3:5" ht="20.100000000000001" customHeight="1">
      <c r="C47" s="199" t="s">
        <v>386</v>
      </c>
      <c r="D47" s="200"/>
      <c r="E47" s="235"/>
    </row>
    <row r="48" spans="3:5" ht="20.100000000000001" customHeight="1" thickBot="1">
      <c r="C48" s="391" t="s">
        <v>387</v>
      </c>
      <c r="D48" s="392"/>
    </row>
    <row r="49" spans="3:6" ht="20.100000000000001" customHeight="1" thickBot="1">
      <c r="C49" s="34" t="s">
        <v>392</v>
      </c>
      <c r="D49" s="26"/>
    </row>
    <row r="50" spans="3:6" ht="20.100000000000001" customHeight="1">
      <c r="C50" s="192" t="s">
        <v>377</v>
      </c>
      <c r="D50" s="201"/>
    </row>
    <row r="51" spans="3:6" ht="20.100000000000001" customHeight="1">
      <c r="C51" s="187" t="s">
        <v>376</v>
      </c>
      <c r="D51" s="198"/>
    </row>
    <row r="52" spans="3:6" ht="20.100000000000001" customHeight="1" thickBot="1">
      <c r="C52" s="311" t="s">
        <v>393</v>
      </c>
      <c r="D52" s="312"/>
    </row>
    <row r="53" spans="3:6" ht="20.100000000000001" customHeight="1" thickBot="1">
      <c r="C53" s="26" t="s">
        <v>394</v>
      </c>
      <c r="D53" s="26"/>
    </row>
    <row r="54" spans="3:6" ht="79.95" customHeight="1" thickTop="1" thickBot="1">
      <c r="C54" s="202" t="s">
        <v>395</v>
      </c>
      <c r="D54" s="203"/>
    </row>
    <row r="55" spans="3:6" ht="20.100000000000001" customHeight="1">
      <c r="C55" s="26" t="s">
        <v>396</v>
      </c>
      <c r="D55" s="26"/>
      <c r="F55" s="35"/>
    </row>
    <row r="56" spans="3:6" ht="20.100000000000001" customHeight="1" thickBot="1">
      <c r="C56" s="32" t="s">
        <v>397</v>
      </c>
      <c r="D56" s="33"/>
    </row>
    <row r="57" spans="3:6" ht="30" customHeight="1">
      <c r="C57" s="204" t="s">
        <v>398</v>
      </c>
      <c r="D57" s="201"/>
    </row>
    <row r="58" spans="3:6" ht="53.4" customHeight="1" thickBot="1">
      <c r="C58" s="205" t="s">
        <v>399</v>
      </c>
      <c r="D58" s="482"/>
    </row>
    <row r="59" spans="3:6" ht="20.100000000000001" customHeight="1" thickBot="1">
      <c r="C59" s="546" t="s">
        <v>400</v>
      </c>
      <c r="D59" s="546"/>
    </row>
    <row r="60" spans="3:6" ht="20.100000000000001" customHeight="1">
      <c r="C60" s="477" t="s">
        <v>382</v>
      </c>
      <c r="D60" s="472" t="s">
        <v>401</v>
      </c>
    </row>
    <row r="61" spans="3:6" ht="20.100000000000001" customHeight="1">
      <c r="C61" s="303" t="s">
        <v>384</v>
      </c>
      <c r="D61" s="313"/>
    </row>
    <row r="62" spans="3:6" ht="20.100000000000001" customHeight="1">
      <c r="C62" s="303" t="s">
        <v>402</v>
      </c>
      <c r="D62" s="313"/>
    </row>
    <row r="63" spans="3:6" ht="20.100000000000001" customHeight="1">
      <c r="C63" s="303" t="s">
        <v>393</v>
      </c>
      <c r="D63" s="403"/>
    </row>
    <row r="64" spans="3:6" ht="20.100000000000001" customHeight="1">
      <c r="C64" s="316" t="s">
        <v>403</v>
      </c>
      <c r="D64" s="313"/>
    </row>
    <row r="65" spans="3:6" ht="60" customHeight="1">
      <c r="C65" s="471" t="s">
        <v>404</v>
      </c>
      <c r="D65" s="473"/>
    </row>
    <row r="66" spans="3:6" ht="20.100000000000001" customHeight="1">
      <c r="C66" s="492" t="s">
        <v>623</v>
      </c>
      <c r="D66" s="314"/>
    </row>
    <row r="67" spans="3:6" ht="20.100000000000001" customHeight="1">
      <c r="C67" s="199" t="s">
        <v>386</v>
      </c>
      <c r="D67" s="313"/>
    </row>
    <row r="68" spans="3:6" ht="31.8" customHeight="1">
      <c r="C68" s="493" t="s">
        <v>405</v>
      </c>
      <c r="D68" s="313"/>
    </row>
    <row r="69" spans="3:6" ht="20.100000000000001" customHeight="1">
      <c r="C69" s="493" t="s">
        <v>393</v>
      </c>
      <c r="D69" s="404"/>
    </row>
    <row r="70" spans="3:6" ht="20.100000000000001" customHeight="1" thickBot="1">
      <c r="C70" s="317" t="s">
        <v>403</v>
      </c>
      <c r="D70" s="315"/>
    </row>
    <row r="71" spans="3:6" ht="20.100000000000001" customHeight="1" thickBot="1">
      <c r="C71" s="540" t="s">
        <v>406</v>
      </c>
      <c r="D71" s="540"/>
      <c r="F71" s="36"/>
    </row>
    <row r="72" spans="3:6" ht="20.100000000000001" customHeight="1">
      <c r="C72" s="477" t="s">
        <v>382</v>
      </c>
      <c r="D72" s="486" t="s">
        <v>407</v>
      </c>
      <c r="F72" s="36"/>
    </row>
    <row r="73" spans="3:6" ht="20.100000000000001" customHeight="1">
      <c r="C73" s="208" t="s">
        <v>408</v>
      </c>
      <c r="D73" s="210"/>
      <c r="F73" s="36"/>
    </row>
    <row r="74" spans="3:6" ht="41.55" customHeight="1">
      <c r="C74" s="206" t="s">
        <v>409</v>
      </c>
      <c r="D74" s="195"/>
      <c r="F74" s="36"/>
    </row>
    <row r="75" spans="3:6" ht="45" customHeight="1">
      <c r="C75" s="207" t="s">
        <v>410</v>
      </c>
      <c r="D75" s="211"/>
      <c r="F75" s="36"/>
    </row>
    <row r="76" spans="3:6" ht="33" customHeight="1" thickBot="1">
      <c r="C76" s="209" t="s">
        <v>411</v>
      </c>
      <c r="D76" s="212"/>
      <c r="F76" s="537" t="s">
        <v>414</v>
      </c>
    </row>
    <row r="77" spans="3:6" ht="14.55" customHeight="1" thickBot="1">
      <c r="F77" s="537"/>
    </row>
    <row r="78" spans="3:6" ht="20.100000000000001" customHeight="1" thickBot="1">
      <c r="C78" s="213" t="s">
        <v>412</v>
      </c>
      <c r="D78" s="214" t="e">
        <f>VLOOKUP('Entity assessment'!D21,Liste!Y3:AA6,3,FALSE)</f>
        <v>#N/A</v>
      </c>
      <c r="F78" s="537"/>
    </row>
    <row r="79" spans="3:6" ht="10.050000000000001" customHeight="1">
      <c r="F79" s="537"/>
    </row>
    <row r="80" spans="3:6" ht="20.100000000000001" customHeight="1" thickBot="1">
      <c r="C80" s="25" t="s">
        <v>413</v>
      </c>
      <c r="F80" s="537"/>
    </row>
    <row r="81" spans="3:6" ht="20.100000000000001" customHeight="1">
      <c r="C81" s="199" t="s">
        <v>622</v>
      </c>
      <c r="D81" s="201"/>
      <c r="F81" s="537"/>
    </row>
    <row r="82" spans="3:6" ht="20.100000000000001" customHeight="1">
      <c r="C82" s="199" t="s">
        <v>386</v>
      </c>
      <c r="D82" s="198"/>
      <c r="F82" s="537"/>
    </row>
    <row r="83" spans="3:6" ht="20.100000000000001" customHeight="1" thickBot="1">
      <c r="C83" s="199" t="s">
        <v>387</v>
      </c>
      <c r="D83" s="198"/>
      <c r="F83" s="35" t="e" vm="1">
        <v>#VALUE!</v>
      </c>
    </row>
    <row r="84" spans="3:6" ht="31.2" customHeight="1" thickBot="1">
      <c r="C84" s="215" t="s">
        <v>310</v>
      </c>
      <c r="D84" s="474"/>
      <c r="F84" s="619" t="s">
        <v>415</v>
      </c>
    </row>
    <row r="85" spans="3:6" ht="10.050000000000001" customHeight="1" thickTop="1"/>
  </sheetData>
  <sheetProtection algorithmName="SHA-512" hashValue="gjDlHbq7lPKXSQ0+NscXYPYsHNzzbgepa3cN4xZOHIg8vBbUfG0AlN4apv+NBNbcYbuqecGePNdOZeSE2MFvgg==" saltValue="LbttI+Xi+Lsm9jUbhvTtAw==" spinCount="100000" sheet="1" selectLockedCells="1"/>
  <protectedRanges>
    <protectedRange algorithmName="SHA-512" hashValue="jI/qDuQk9EGQfZUkjzYXBBZ2PdaNJZWmzX5b74j3qhu9ZRGikPjq8PeHFpmgQQsQTL0jVCEM23D6rvSVLk8exQ==" saltValue="UuBS3rfQktmmFfugbgWDEw==" spinCount="100000" sqref="C73:C80 E61:F1048576 D37 C1:F6 C38:D44 D72 D84:D85 D77:D80 C46:D59 D45 C61:D65 D60 C9:F36 E7:F8 C70:D71 D66:D69 C85:C1048576" name="Range1"/>
    <protectedRange algorithmName="SHA-512" hashValue="jI/qDuQk9EGQfZUkjzYXBBZ2PdaNJZWmzX5b74j3qhu9ZRGikPjq8PeHFpmgQQsQTL0jVCEM23D6rvSVLk8exQ==" saltValue="UuBS3rfQktmmFfugbgWDEw==" spinCount="100000" sqref="C7:D8" name="Range1_1"/>
    <protectedRange algorithmName="SHA-512" hashValue="jI/qDuQk9EGQfZUkjzYXBBZ2PdaNJZWmzX5b74j3qhu9ZRGikPjq8PeHFpmgQQsQTL0jVCEM23D6rvSVLk8exQ==" saltValue="UuBS3rfQktmmFfugbgWDEw==" spinCount="100000" sqref="C66:C69" name="Range1_2"/>
    <protectedRange algorithmName="SHA-512" hashValue="jI/qDuQk9EGQfZUkjzYXBBZ2PdaNJZWmzX5b74j3qhu9ZRGikPjq8PeHFpmgQQsQTL0jVCEM23D6rvSVLk8exQ==" saltValue="UuBS3rfQktmmFfugbgWDEw==" spinCount="100000" sqref="C81:C84" name="Range1_3"/>
  </protectedRanges>
  <mergeCells count="12">
    <mergeCell ref="F76:F82"/>
    <mergeCell ref="F11:F14"/>
    <mergeCell ref="C71:D71"/>
    <mergeCell ref="C4:F4"/>
    <mergeCell ref="C6:F6"/>
    <mergeCell ref="C11:D11"/>
    <mergeCell ref="C15:D15"/>
    <mergeCell ref="C31:D31"/>
    <mergeCell ref="C36:D36"/>
    <mergeCell ref="C35:D35"/>
    <mergeCell ref="C43:D43"/>
    <mergeCell ref="C59:D59"/>
  </mergeCells>
  <conditionalFormatting sqref="C37">
    <cfRule type="containsText" dxfId="57" priority="13" operator="containsText" text="Select">
      <formula>NOT(ISERROR(SEARCH("Select",C37)))</formula>
    </cfRule>
  </conditionalFormatting>
  <conditionalFormatting sqref="C45">
    <cfRule type="containsText" dxfId="56" priority="16" operator="containsText" text="Select">
      <formula>NOT(ISERROR(SEARCH("Select",C45)))</formula>
    </cfRule>
  </conditionalFormatting>
  <conditionalFormatting sqref="C60">
    <cfRule type="containsText" dxfId="55" priority="15" operator="containsText" text="Select">
      <formula>NOT(ISERROR(SEARCH("Select",C60)))</formula>
    </cfRule>
  </conditionalFormatting>
  <conditionalFormatting sqref="C66 C68:C69">
    <cfRule type="expression" dxfId="54" priority="4">
      <formula>$C$58=TRUE</formula>
    </cfRule>
  </conditionalFormatting>
  <conditionalFormatting sqref="C66">
    <cfRule type="expression" dxfId="53" priority="2">
      <formula>#REF!=FALSE</formula>
    </cfRule>
  </conditionalFormatting>
  <conditionalFormatting sqref="C67">
    <cfRule type="expression" dxfId="52" priority="3">
      <formula>$C$43=TRUE</formula>
    </cfRule>
  </conditionalFormatting>
  <conditionalFormatting sqref="C72">
    <cfRule type="containsText" dxfId="51" priority="14" operator="containsText" text="Select">
      <formula>NOT(ISERROR(SEARCH("Select",C72)))</formula>
    </cfRule>
  </conditionalFormatting>
  <conditionalFormatting sqref="C81:C83">
    <cfRule type="expression" dxfId="50" priority="1">
      <formula>$C$43=TRUE</formula>
    </cfRule>
  </conditionalFormatting>
  <conditionalFormatting sqref="C19:D19">
    <cfRule type="expression" dxfId="49" priority="17">
      <formula>$D$17&lt;&gt;"Bucharest"</formula>
    </cfRule>
  </conditionalFormatting>
  <conditionalFormatting sqref="C38:D42">
    <cfRule type="expression" dxfId="48" priority="11">
      <formula>OR($C$37="No", $C$37="Select")</formula>
    </cfRule>
  </conditionalFormatting>
  <conditionalFormatting sqref="C46:D48">
    <cfRule type="expression" dxfId="47" priority="10">
      <formula>OR($C$45="Yes", $C$45="Select")</formula>
    </cfRule>
  </conditionalFormatting>
  <conditionalFormatting sqref="C61:D70">
    <cfRule type="expression" dxfId="46" priority="8">
      <formula>OR($C$60="No", $C$60="Select")</formula>
    </cfRule>
  </conditionalFormatting>
  <conditionalFormatting sqref="C73:D76">
    <cfRule type="expression" dxfId="45" priority="6">
      <formula>OR($C$72="No", $C$72="Select")</formula>
    </cfRule>
  </conditionalFormatting>
  <conditionalFormatting sqref="D13:D14 D17 D22:D26 D28:D29 D33 D51 D57:D58">
    <cfRule type="containsBlanks" dxfId="44" priority="12">
      <formula>LEN(TRIM(D13))=0</formula>
    </cfRule>
  </conditionalFormatting>
  <conditionalFormatting sqref="D19">
    <cfRule type="containsBlanks" dxfId="43" priority="35">
      <formula>LEN(TRIM(D19))=0</formula>
    </cfRule>
  </conditionalFormatting>
  <conditionalFormatting sqref="D38:D42">
    <cfRule type="containsBlanks" dxfId="42" priority="19">
      <formula>LEN(TRIM(D38))=0</formula>
    </cfRule>
  </conditionalFormatting>
  <conditionalFormatting sqref="D46:D48">
    <cfRule type="containsBlanks" dxfId="41" priority="44">
      <formula>LEN(TRIM(D46))=0</formula>
    </cfRule>
  </conditionalFormatting>
  <conditionalFormatting sqref="D57 D12 D16 D18 D20:D21 D27 D30 D32 D50 D52 D54 D81:D84">
    <cfRule type="containsBlanks" dxfId="40" priority="46">
      <formula>LEN(TRIM(D12))=0</formula>
    </cfRule>
  </conditionalFormatting>
  <conditionalFormatting sqref="D57">
    <cfRule type="containsText" dxfId="39" priority="5" operator="containsText" text="România">
      <formula>NOT(ISERROR(SEARCH("România",D57)))</formula>
    </cfRule>
  </conditionalFormatting>
  <conditionalFormatting sqref="D61:D64">
    <cfRule type="containsBlanks" dxfId="38" priority="34">
      <formula>LEN(TRIM(D61))=0</formula>
    </cfRule>
  </conditionalFormatting>
  <conditionalFormatting sqref="D66:D70">
    <cfRule type="containsBlanks" dxfId="37" priority="9">
      <formula>LEN(TRIM(D66))=0</formula>
    </cfRule>
  </conditionalFormatting>
  <conditionalFormatting sqref="D73:D74">
    <cfRule type="containsBlanks" dxfId="36" priority="41">
      <formula>LEN(TRIM(D73))=0</formula>
    </cfRule>
  </conditionalFormatting>
  <conditionalFormatting sqref="D75:D76">
    <cfRule type="containsBlanks" dxfId="35" priority="7">
      <formula>LEN(TRIM(D75))=0</formula>
    </cfRule>
  </conditionalFormatting>
  <hyperlinks>
    <hyperlink ref="F84" location="'Entity assessment'!A1" tooltip="Mergeți la instrumentul de evaluare." display="Entity assessment" xr:uid="{018E8AD4-78A6-4FE4-A37D-48FB4CD5DC45}"/>
  </hyperlinks>
  <pageMargins left="0.7" right="0.7" top="0.75" bottom="0.75" header="0.3" footer="0.3"/>
  <pageSetup scale="58" orientation="portrait" r:id="rId1"/>
  <rowBreaks count="1" manualBreakCount="1">
    <brk id="48" min="1" max="6" man="1"/>
  </rowBreak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7C3661EE-A9C4-4C0A-9B03-98A4249C411E}">
          <x14:formula1>
            <xm:f>Liste!$J$3:$J$44</xm:f>
          </x14:formula1>
          <xm:sqref>D17</xm:sqref>
        </x14:dataValidation>
        <x14:dataValidation type="list" allowBlank="1" showInputMessage="1" showErrorMessage="1" xr:uid="{32A18808-5596-4F3D-B8D2-9266B10972B1}">
          <x14:formula1>
            <xm:f>Liste!$B$3:$B$5</xm:f>
          </x14:formula1>
          <xm:sqref>C37 C45 C60 C72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509BC-48C1-4ECD-BFCD-86F2586E1772}">
  <sheetPr codeName="Foaie4">
    <tabColor theme="7" tint="0.39997558519241921"/>
  </sheetPr>
  <dimension ref="B1:K207"/>
  <sheetViews>
    <sheetView showGridLines="0" view="pageBreakPreview" topLeftCell="A12" zoomScaleNormal="100" zoomScaleSheetLayoutView="100" zoomScalePageLayoutView="55" workbookViewId="0">
      <selection activeCell="G22" sqref="G22"/>
    </sheetView>
  </sheetViews>
  <sheetFormatPr defaultColWidth="8.77734375" defaultRowHeight="14.4"/>
  <cols>
    <col min="1" max="1" width="1.6640625" style="8" customWidth="1"/>
    <col min="2" max="2" width="3.6640625" style="8" customWidth="1"/>
    <col min="3" max="3" width="110.6640625" style="8" customWidth="1"/>
    <col min="4" max="4" width="30.6640625" style="8" customWidth="1"/>
    <col min="5" max="5" width="3.6640625" style="49" customWidth="1"/>
    <col min="6" max="6" width="11.44140625" style="8" customWidth="1"/>
    <col min="7" max="16384" width="8.77734375" style="8"/>
  </cols>
  <sheetData>
    <row r="1" spans="2:11" ht="20.100000000000001" customHeight="1">
      <c r="E1" s="37"/>
      <c r="F1" s="407"/>
      <c r="G1" s="407"/>
      <c r="H1" s="407"/>
      <c r="I1" s="407"/>
      <c r="J1" s="407"/>
      <c r="K1" s="407"/>
    </row>
    <row r="2" spans="2:11" ht="74.55" customHeight="1" thickBot="1">
      <c r="C2" s="23"/>
      <c r="D2" s="410" t="str">
        <f>CONCATENATE("Version: ",Introduction!O14,"_",Introduction!N14)</f>
        <v>Version: V2.0_45898</v>
      </c>
      <c r="E2" s="37"/>
      <c r="F2" s="407"/>
      <c r="G2" s="407"/>
      <c r="H2" s="407"/>
      <c r="I2" s="407"/>
      <c r="J2" s="407"/>
      <c r="K2" s="407"/>
    </row>
    <row r="3" spans="2:11" ht="15" thickTop="1">
      <c r="E3" s="37"/>
      <c r="F3" s="407"/>
      <c r="G3" s="407"/>
      <c r="H3" s="407"/>
      <c r="I3" s="407"/>
      <c r="J3" s="407"/>
      <c r="K3" s="407"/>
    </row>
    <row r="4" spans="2:11" ht="80.099999999999994" customHeight="1">
      <c r="C4" s="579" t="s">
        <v>624</v>
      </c>
      <c r="D4" s="579"/>
      <c r="E4" s="37"/>
      <c r="F4" s="407"/>
      <c r="G4" s="407"/>
      <c r="H4" s="407"/>
      <c r="I4" s="407"/>
      <c r="J4" s="407"/>
      <c r="K4" s="407"/>
    </row>
    <row r="5" spans="2:11" ht="79.95" customHeight="1">
      <c r="C5" s="522" t="s">
        <v>629</v>
      </c>
      <c r="D5" s="577" t="s">
        <v>416</v>
      </c>
      <c r="E5" s="37"/>
      <c r="F5" s="407"/>
      <c r="G5" s="407"/>
      <c r="H5" s="407"/>
      <c r="I5" s="407"/>
      <c r="J5" s="407"/>
      <c r="K5" s="407"/>
    </row>
    <row r="6" spans="2:11" ht="30" customHeight="1">
      <c r="C6" s="522"/>
      <c r="D6" s="577"/>
      <c r="E6" s="37"/>
      <c r="F6" s="407"/>
      <c r="G6" s="407"/>
      <c r="H6" s="407"/>
      <c r="I6" s="407"/>
      <c r="J6" s="407"/>
      <c r="K6" s="407"/>
    </row>
    <row r="7" spans="2:11" ht="49.95" customHeight="1" thickBot="1">
      <c r="C7" s="576"/>
      <c r="D7" s="578"/>
      <c r="E7" s="37"/>
      <c r="F7" s="407"/>
      <c r="G7" s="407"/>
      <c r="H7" s="407"/>
      <c r="I7" s="407"/>
      <c r="J7" s="407"/>
      <c r="K7" s="407"/>
    </row>
    <row r="8" spans="2:11" ht="10.050000000000001" customHeight="1" thickTop="1" thickBot="1">
      <c r="E8" s="37"/>
      <c r="F8" s="407"/>
      <c r="G8" s="407"/>
      <c r="H8" s="407"/>
      <c r="I8" s="407"/>
      <c r="J8" s="407"/>
      <c r="K8" s="407"/>
    </row>
    <row r="9" spans="2:11" ht="40.049999999999997" customHeight="1" thickBot="1">
      <c r="C9" s="411" t="s">
        <v>417</v>
      </c>
      <c r="D9" s="412" t="s">
        <v>418</v>
      </c>
      <c r="E9" s="37"/>
      <c r="F9" s="407"/>
      <c r="G9" s="407"/>
      <c r="H9" s="407"/>
      <c r="I9" s="407"/>
      <c r="J9" s="407"/>
      <c r="K9" s="407"/>
    </row>
    <row r="10" spans="2:11" ht="42.6" customHeight="1" thickTop="1">
      <c r="C10" s="588" t="s">
        <v>419</v>
      </c>
      <c r="D10" s="589"/>
      <c r="E10" s="37"/>
      <c r="F10" s="407"/>
      <c r="G10" s="407"/>
      <c r="H10" s="407"/>
      <c r="I10" s="407"/>
      <c r="J10" s="407"/>
      <c r="K10" s="407"/>
    </row>
    <row r="11" spans="2:11" ht="106.2" customHeight="1">
      <c r="C11" s="590" t="s">
        <v>427</v>
      </c>
      <c r="D11" s="591"/>
      <c r="E11" s="37"/>
      <c r="F11" s="407"/>
      <c r="G11" s="407"/>
      <c r="H11" s="407"/>
      <c r="I11" s="407"/>
      <c r="J11" s="407"/>
      <c r="K11" s="407"/>
    </row>
    <row r="12" spans="2:11" ht="66.599999999999994" customHeight="1">
      <c r="C12" s="582" t="s">
        <v>625</v>
      </c>
      <c r="D12" s="583"/>
      <c r="E12" s="37"/>
      <c r="F12" s="407"/>
      <c r="G12" s="407"/>
      <c r="H12" s="407"/>
      <c r="I12" s="407"/>
      <c r="J12" s="407"/>
      <c r="K12" s="407"/>
    </row>
    <row r="13" spans="2:11" s="407" customFormat="1" ht="14.55" customHeight="1">
      <c r="B13" s="8"/>
      <c r="C13" s="584" t="s">
        <v>420</v>
      </c>
      <c r="D13" s="585"/>
      <c r="E13" s="408"/>
      <c r="F13" s="409"/>
    </row>
    <row r="14" spans="2:11" s="407" customFormat="1" ht="14.55" customHeight="1">
      <c r="B14" s="8"/>
      <c r="C14" s="584" t="s">
        <v>421</v>
      </c>
      <c r="D14" s="585"/>
      <c r="E14" s="408"/>
      <c r="F14" s="409"/>
    </row>
    <row r="15" spans="2:11" s="407" customFormat="1">
      <c r="B15" s="8"/>
      <c r="C15" s="586" t="s">
        <v>422</v>
      </c>
      <c r="D15" s="587"/>
      <c r="E15" s="408"/>
      <c r="F15" s="409"/>
    </row>
    <row r="16" spans="2:11" ht="15" customHeight="1" thickBot="1">
      <c r="C16" s="580"/>
      <c r="D16" s="581"/>
      <c r="E16" s="37"/>
      <c r="F16" s="407"/>
      <c r="G16" s="407"/>
      <c r="H16" s="407"/>
      <c r="I16" s="407"/>
      <c r="J16" s="407"/>
      <c r="K16" s="407"/>
    </row>
    <row r="17" spans="3:11" ht="20.100000000000001" customHeight="1" thickTop="1">
      <c r="C17" s="414" t="s">
        <v>423</v>
      </c>
      <c r="D17" s="324"/>
      <c r="E17" s="37"/>
      <c r="F17" s="407"/>
      <c r="G17" s="407"/>
      <c r="H17" s="407"/>
      <c r="I17" s="407"/>
      <c r="J17" s="407"/>
      <c r="K17" s="407"/>
    </row>
    <row r="18" spans="3:11" ht="20.100000000000001" customHeight="1">
      <c r="C18" s="415" t="s">
        <v>424</v>
      </c>
      <c r="D18" s="324"/>
      <c r="E18" s="37"/>
      <c r="F18" s="407"/>
      <c r="G18" s="407"/>
      <c r="H18" s="407"/>
      <c r="I18" s="407"/>
      <c r="J18" s="407"/>
      <c r="K18" s="407"/>
    </row>
    <row r="19" spans="3:11" ht="20.100000000000001" customHeight="1">
      <c r="C19" s="416" t="s">
        <v>425</v>
      </c>
      <c r="D19" s="324"/>
      <c r="E19" s="37"/>
      <c r="F19" s="407"/>
      <c r="G19" s="407"/>
      <c r="H19" s="407"/>
      <c r="I19" s="407"/>
      <c r="J19" s="407"/>
      <c r="K19" s="407"/>
    </row>
    <row r="20" spans="3:11" ht="20.100000000000001" customHeight="1">
      <c r="C20" s="507" t="s">
        <v>628</v>
      </c>
      <c r="D20" s="508" t="str">
        <f>IF(OR(D17="", D18="", D19=""),
   "Insufficient data",
   IF(AND(D17&lt;=49, OR(D18&lt;=10000000, D19&lt;=10000000)),
      "Small and micro",
      IF(AND(D17&lt;=249, OR(D18&lt;=50000000, D19&lt;=43000000)),
         "Medium",
         IF(OR(D17&gt;=250, D18&gt;50000000, D19&gt;43000000),
            "Large",
            ""))))</f>
        <v>Insufficient data</v>
      </c>
      <c r="E20" s="37"/>
      <c r="F20" s="407"/>
      <c r="G20" s="407"/>
      <c r="H20" s="407"/>
      <c r="I20" s="407"/>
      <c r="J20" s="407"/>
      <c r="K20" s="407"/>
    </row>
    <row r="21" spans="3:11" ht="20.100000000000001" customHeight="1" thickBot="1">
      <c r="C21" s="417" t="s">
        <v>426</v>
      </c>
      <c r="D21" s="325" t="s">
        <v>382</v>
      </c>
      <c r="E21" s="39"/>
      <c r="F21" s="407"/>
      <c r="G21" s="407"/>
      <c r="H21" s="407"/>
      <c r="I21" s="407"/>
      <c r="J21" s="407"/>
      <c r="K21" s="407"/>
    </row>
    <row r="22" spans="3:11" ht="40.049999999999997" customHeight="1" thickTop="1" thickBot="1">
      <c r="C22" s="572" t="str">
        <f>IF(OR(ISBLANK(D18), ISBLANK(D17), ISBLANK(D19), D21="Select"), Liste!F6, "All the entity size-specific data has been filled in. Continue with the assessment process!")</f>
        <v>Please fill in all 3 criteria that determine the size of the entity and select the size that corresponds to your entity.</v>
      </c>
      <c r="D22" s="573"/>
      <c r="E22" s="39"/>
      <c r="F22" s="407"/>
      <c r="G22" s="407"/>
      <c r="H22" s="407"/>
      <c r="I22" s="407"/>
      <c r="J22" s="407"/>
      <c r="K22" s="407"/>
    </row>
    <row r="23" spans="3:11" ht="20.100000000000001" customHeight="1" thickTop="1" thickBot="1">
      <c r="D23" s="10"/>
      <c r="E23" s="37"/>
      <c r="F23" s="407"/>
      <c r="G23" s="407"/>
      <c r="H23" s="407"/>
      <c r="I23" s="407"/>
      <c r="J23" s="407"/>
      <c r="K23" s="407"/>
    </row>
    <row r="24" spans="3:11" ht="40.049999999999997" customHeight="1" thickTop="1" thickBot="1">
      <c r="C24" s="418" t="s">
        <v>432</v>
      </c>
      <c r="D24" s="419"/>
      <c r="E24" s="37"/>
      <c r="F24" s="407"/>
      <c r="G24" s="407"/>
      <c r="H24" s="407"/>
      <c r="I24" s="407"/>
      <c r="J24" s="407"/>
      <c r="K24" s="407"/>
    </row>
    <row r="25" spans="3:11" ht="20.100000000000001" customHeight="1" thickTop="1">
      <c r="C25" s="420"/>
      <c r="D25" s="421"/>
      <c r="E25" s="37"/>
      <c r="F25" s="407"/>
      <c r="G25" s="407"/>
      <c r="H25" s="407"/>
      <c r="I25" s="407"/>
      <c r="J25" s="407"/>
      <c r="K25" s="407"/>
    </row>
    <row r="26" spans="3:11" ht="40.049999999999997" customHeight="1">
      <c r="C26" s="565" t="s">
        <v>433</v>
      </c>
      <c r="D26" s="566"/>
      <c r="E26" s="37"/>
      <c r="F26" s="407"/>
      <c r="G26" s="407"/>
      <c r="H26" s="407"/>
      <c r="I26" s="407"/>
      <c r="J26" s="407"/>
      <c r="K26" s="407"/>
    </row>
    <row r="27" spans="3:11" ht="19.95" customHeight="1" thickBot="1">
      <c r="C27" s="413"/>
      <c r="D27" s="422"/>
      <c r="E27" s="37"/>
      <c r="F27" s="407"/>
      <c r="G27" s="407"/>
      <c r="H27" s="407"/>
      <c r="I27" s="407"/>
      <c r="J27" s="407"/>
      <c r="K27" s="407"/>
    </row>
    <row r="28" spans="3:11" ht="30" customHeight="1" thickTop="1" thickBot="1">
      <c r="C28" s="423" t="s">
        <v>438</v>
      </c>
      <c r="D28" s="424"/>
      <c r="E28" s="226"/>
      <c r="F28" s="407"/>
      <c r="G28" s="407"/>
      <c r="H28" s="407"/>
      <c r="I28" s="407"/>
      <c r="J28" s="407"/>
      <c r="K28" s="407"/>
    </row>
    <row r="29" spans="3:11" ht="20.100000000000001" customHeight="1" thickTop="1">
      <c r="C29" s="425" t="s">
        <v>439</v>
      </c>
      <c r="D29" s="426"/>
      <c r="E29" s="37"/>
      <c r="F29" s="407"/>
      <c r="G29" s="407"/>
      <c r="H29" s="407"/>
      <c r="I29" s="407"/>
      <c r="J29" s="407"/>
      <c r="K29" s="407"/>
    </row>
    <row r="30" spans="3:11" ht="20.100000000000001" customHeight="1">
      <c r="C30" s="427" t="s">
        <v>440</v>
      </c>
      <c r="D30" s="428"/>
      <c r="E30" s="37"/>
      <c r="F30" s="407"/>
      <c r="G30" s="407"/>
      <c r="H30" s="407"/>
      <c r="I30" s="407"/>
      <c r="J30" s="407"/>
      <c r="K30" s="407"/>
    </row>
    <row r="31" spans="3:11" ht="20.100000000000001" customHeight="1">
      <c r="C31" s="429" t="s">
        <v>441</v>
      </c>
      <c r="D31" s="216" t="s">
        <v>391</v>
      </c>
      <c r="E31" s="37"/>
      <c r="F31" s="407"/>
      <c r="G31" s="407"/>
      <c r="H31" s="407"/>
      <c r="I31" s="407"/>
      <c r="J31" s="407"/>
      <c r="K31" s="407"/>
    </row>
    <row r="32" spans="3:11" ht="20.100000000000001" customHeight="1">
      <c r="C32" s="430" t="s">
        <v>442</v>
      </c>
      <c r="D32" s="217" t="s">
        <v>391</v>
      </c>
      <c r="E32" s="37"/>
      <c r="F32" s="407"/>
      <c r="G32" s="407"/>
      <c r="H32" s="407"/>
      <c r="I32" s="407"/>
      <c r="J32" s="407"/>
      <c r="K32" s="407"/>
    </row>
    <row r="33" spans="3:11" ht="20.100000000000001" customHeight="1">
      <c r="C33" s="430" t="s">
        <v>443</v>
      </c>
      <c r="D33" s="217" t="s">
        <v>391</v>
      </c>
      <c r="E33" s="37"/>
      <c r="F33" s="407"/>
      <c r="G33" s="407"/>
      <c r="H33" s="407"/>
      <c r="I33" s="407"/>
      <c r="J33" s="407"/>
      <c r="K33" s="407"/>
    </row>
    <row r="34" spans="3:11" ht="20.100000000000001" customHeight="1">
      <c r="C34" s="430" t="s">
        <v>444</v>
      </c>
      <c r="D34" s="217" t="s">
        <v>391</v>
      </c>
      <c r="E34" s="37"/>
      <c r="F34" s="407"/>
      <c r="G34" s="407"/>
      <c r="H34" s="407"/>
      <c r="I34" s="407"/>
      <c r="J34" s="407"/>
      <c r="K34" s="407"/>
    </row>
    <row r="35" spans="3:11" ht="20.100000000000001" customHeight="1">
      <c r="C35" s="430" t="s">
        <v>445</v>
      </c>
      <c r="D35" s="217" t="s">
        <v>391</v>
      </c>
      <c r="E35" s="37"/>
      <c r="F35" s="407"/>
      <c r="G35" s="407"/>
      <c r="H35" s="407"/>
      <c r="I35" s="407"/>
      <c r="J35" s="407"/>
      <c r="K35" s="407"/>
    </row>
    <row r="36" spans="3:11" ht="20.100000000000001" customHeight="1">
      <c r="C36" s="430" t="s">
        <v>446</v>
      </c>
      <c r="D36" s="217" t="s">
        <v>391</v>
      </c>
      <c r="E36" s="37"/>
      <c r="F36" s="407"/>
      <c r="G36" s="407"/>
      <c r="H36" s="407"/>
      <c r="I36" s="407"/>
      <c r="J36" s="407"/>
      <c r="K36" s="407"/>
    </row>
    <row r="37" spans="3:11" ht="20.100000000000001" customHeight="1">
      <c r="C37" s="430" t="s">
        <v>447</v>
      </c>
      <c r="D37" s="217" t="s">
        <v>391</v>
      </c>
      <c r="E37" s="37"/>
      <c r="F37" s="407"/>
      <c r="G37" s="407"/>
      <c r="H37" s="407"/>
      <c r="I37" s="407"/>
      <c r="J37" s="407"/>
      <c r="K37" s="407"/>
    </row>
    <row r="38" spans="3:11" ht="20.100000000000001" customHeight="1">
      <c r="C38" s="431" t="s">
        <v>448</v>
      </c>
      <c r="D38" s="218" t="s">
        <v>391</v>
      </c>
      <c r="E38" s="37"/>
      <c r="F38" s="407"/>
      <c r="G38" s="407"/>
      <c r="H38" s="407"/>
      <c r="I38" s="407"/>
      <c r="J38" s="407"/>
      <c r="K38" s="407"/>
    </row>
    <row r="39" spans="3:11" ht="20.100000000000001" customHeight="1">
      <c r="C39" s="427" t="s">
        <v>449</v>
      </c>
      <c r="D39" s="428"/>
      <c r="E39" s="37"/>
      <c r="F39" s="407"/>
      <c r="G39" s="407"/>
      <c r="H39" s="407"/>
      <c r="I39" s="407"/>
      <c r="J39" s="407"/>
      <c r="K39" s="407"/>
    </row>
    <row r="40" spans="3:11" ht="20.100000000000001" customHeight="1">
      <c r="C40" s="432" t="s">
        <v>450</v>
      </c>
      <c r="D40" s="219" t="s">
        <v>391</v>
      </c>
      <c r="E40" s="37"/>
      <c r="F40" s="407"/>
      <c r="G40" s="407"/>
      <c r="H40" s="407"/>
      <c r="I40" s="407"/>
      <c r="J40" s="407"/>
      <c r="K40" s="407"/>
    </row>
    <row r="41" spans="3:11" ht="20.100000000000001" customHeight="1">
      <c r="C41" s="427" t="s">
        <v>451</v>
      </c>
      <c r="D41" s="428"/>
      <c r="E41" s="37"/>
      <c r="F41" s="407"/>
      <c r="G41" s="407"/>
      <c r="H41" s="407"/>
      <c r="I41" s="407"/>
      <c r="J41" s="407"/>
      <c r="K41" s="407"/>
    </row>
    <row r="42" spans="3:11" ht="20.100000000000001" customHeight="1">
      <c r="C42" s="429" t="s">
        <v>452</v>
      </c>
      <c r="D42" s="216" t="s">
        <v>391</v>
      </c>
      <c r="E42" s="37"/>
      <c r="F42" s="407"/>
      <c r="G42" s="407"/>
      <c r="H42" s="407"/>
      <c r="I42" s="407"/>
      <c r="J42" s="407"/>
      <c r="K42" s="407"/>
    </row>
    <row r="43" spans="3:11" ht="29.55" customHeight="1">
      <c r="C43" s="430" t="s">
        <v>453</v>
      </c>
      <c r="D43" s="217" t="s">
        <v>391</v>
      </c>
      <c r="E43" s="37"/>
      <c r="F43" s="407"/>
      <c r="G43" s="407"/>
      <c r="H43" s="407"/>
      <c r="I43" s="407"/>
      <c r="J43" s="407"/>
      <c r="K43" s="407"/>
    </row>
    <row r="44" spans="3:11" ht="20.100000000000001" customHeight="1">
      <c r="C44" s="431" t="s">
        <v>454</v>
      </c>
      <c r="D44" s="218" t="s">
        <v>391</v>
      </c>
      <c r="E44" s="37"/>
      <c r="F44" s="407"/>
      <c r="G44" s="407"/>
      <c r="H44" s="407"/>
      <c r="I44" s="407"/>
      <c r="J44" s="407"/>
      <c r="K44" s="407"/>
    </row>
    <row r="45" spans="3:11" ht="20.100000000000001" customHeight="1">
      <c r="C45" s="427" t="s">
        <v>455</v>
      </c>
      <c r="D45" s="428"/>
      <c r="E45" s="37"/>
      <c r="F45" s="407"/>
      <c r="G45" s="407"/>
      <c r="H45" s="407"/>
      <c r="I45" s="407"/>
      <c r="J45" s="407"/>
      <c r="K45" s="407"/>
    </row>
    <row r="46" spans="3:11" ht="20.100000000000001" customHeight="1">
      <c r="C46" s="429" t="s">
        <v>459</v>
      </c>
      <c r="D46" s="216" t="s">
        <v>391</v>
      </c>
      <c r="E46" s="37"/>
      <c r="F46" s="407"/>
      <c r="G46" s="407"/>
      <c r="H46" s="407"/>
      <c r="I46" s="407"/>
      <c r="J46" s="407"/>
      <c r="K46" s="407"/>
    </row>
    <row r="47" spans="3:11" ht="20.100000000000001" customHeight="1">
      <c r="C47" s="430" t="s">
        <v>442</v>
      </c>
      <c r="D47" s="217" t="s">
        <v>391</v>
      </c>
      <c r="E47" s="37"/>
      <c r="F47" s="407"/>
      <c r="G47" s="407"/>
      <c r="H47" s="407"/>
      <c r="I47" s="407"/>
      <c r="J47" s="407"/>
      <c r="K47" s="407"/>
    </row>
    <row r="48" spans="3:11" ht="20.100000000000001" customHeight="1">
      <c r="C48" s="430" t="s">
        <v>443</v>
      </c>
      <c r="D48" s="217" t="s">
        <v>391</v>
      </c>
      <c r="E48" s="37"/>
      <c r="F48" s="407"/>
      <c r="G48" s="407"/>
      <c r="H48" s="407"/>
      <c r="I48" s="407"/>
      <c r="J48" s="407"/>
      <c r="K48" s="407"/>
    </row>
    <row r="49" spans="3:11" ht="20.100000000000001" customHeight="1">
      <c r="C49" s="430" t="s">
        <v>456</v>
      </c>
      <c r="D49" s="217" t="s">
        <v>391</v>
      </c>
      <c r="E49" s="37"/>
      <c r="F49" s="407"/>
      <c r="G49" s="407"/>
      <c r="H49" s="407"/>
      <c r="I49" s="407"/>
      <c r="J49" s="407"/>
      <c r="K49" s="407"/>
    </row>
    <row r="50" spans="3:11" ht="20.100000000000001" customHeight="1">
      <c r="C50" s="430" t="s">
        <v>457</v>
      </c>
      <c r="D50" s="217" t="s">
        <v>391</v>
      </c>
      <c r="E50" s="37"/>
      <c r="F50" s="407"/>
      <c r="G50" s="407"/>
      <c r="H50" s="407"/>
      <c r="I50" s="407"/>
      <c r="J50" s="407"/>
      <c r="K50" s="407"/>
    </row>
    <row r="51" spans="3:11" ht="20.100000000000001" customHeight="1">
      <c r="C51" s="430" t="s">
        <v>458</v>
      </c>
      <c r="D51" s="217" t="s">
        <v>391</v>
      </c>
      <c r="E51" s="37"/>
      <c r="F51" s="407"/>
      <c r="G51" s="407"/>
      <c r="H51" s="407"/>
      <c r="I51" s="407"/>
      <c r="J51" s="407"/>
      <c r="K51" s="407"/>
    </row>
    <row r="52" spans="3:11" ht="20.100000000000001" customHeight="1">
      <c r="C52" s="431" t="s">
        <v>460</v>
      </c>
      <c r="D52" s="218" t="s">
        <v>391</v>
      </c>
      <c r="E52" s="37"/>
      <c r="F52" s="407"/>
      <c r="G52" s="407"/>
      <c r="H52" s="407"/>
      <c r="I52" s="407"/>
      <c r="J52" s="407"/>
      <c r="K52" s="407"/>
    </row>
    <row r="53" spans="3:11" ht="20.100000000000001" customHeight="1">
      <c r="C53" s="427" t="s">
        <v>461</v>
      </c>
      <c r="D53" s="428"/>
      <c r="E53" s="37"/>
      <c r="F53" s="407"/>
      <c r="G53" s="407"/>
      <c r="H53" s="407"/>
      <c r="I53" s="407"/>
      <c r="J53" s="407"/>
      <c r="K53" s="407"/>
    </row>
    <row r="54" spans="3:11" ht="20.100000000000001" customHeight="1">
      <c r="C54" s="433" t="s">
        <v>462</v>
      </c>
      <c r="D54" s="219" t="s">
        <v>391</v>
      </c>
      <c r="E54" s="37"/>
      <c r="F54" s="407"/>
      <c r="G54" s="407"/>
      <c r="H54" s="407"/>
      <c r="I54" s="407"/>
      <c r="J54" s="407"/>
      <c r="K54" s="407"/>
    </row>
    <row r="55" spans="3:11" ht="20.100000000000001" customHeight="1">
      <c r="C55" s="427" t="s">
        <v>463</v>
      </c>
      <c r="D55" s="428"/>
      <c r="E55" s="37"/>
      <c r="F55" s="407"/>
      <c r="G55" s="407"/>
      <c r="H55" s="407"/>
      <c r="I55" s="407"/>
      <c r="J55" s="407"/>
      <c r="K55" s="407"/>
    </row>
    <row r="56" spans="3:11" ht="20.100000000000001" customHeight="1" thickBot="1">
      <c r="C56" s="433" t="s">
        <v>464</v>
      </c>
      <c r="D56" s="219" t="s">
        <v>391</v>
      </c>
      <c r="E56" s="37"/>
      <c r="F56" s="407"/>
      <c r="G56" s="407"/>
      <c r="H56" s="407"/>
      <c r="I56" s="407"/>
      <c r="J56" s="407"/>
      <c r="K56" s="407"/>
    </row>
    <row r="57" spans="3:11" ht="20.100000000000001" customHeight="1">
      <c r="C57" s="434" t="s">
        <v>6</v>
      </c>
      <c r="D57" s="435"/>
      <c r="E57" s="37"/>
      <c r="F57" s="407"/>
      <c r="G57" s="407"/>
      <c r="H57" s="407"/>
      <c r="I57" s="407"/>
      <c r="J57" s="407"/>
      <c r="K57" s="407"/>
    </row>
    <row r="58" spans="3:11" ht="20.100000000000001" customHeight="1">
      <c r="C58" s="427" t="s">
        <v>465</v>
      </c>
      <c r="D58" s="428"/>
      <c r="E58" s="37"/>
      <c r="F58" s="407"/>
      <c r="G58" s="407"/>
      <c r="H58" s="407"/>
      <c r="I58" s="407"/>
      <c r="J58" s="407"/>
      <c r="K58" s="407"/>
    </row>
    <row r="59" spans="3:11" ht="20.100000000000001" customHeight="1">
      <c r="C59" s="429" t="s">
        <v>466</v>
      </c>
      <c r="D59" s="216" t="s">
        <v>391</v>
      </c>
      <c r="E59" s="37"/>
      <c r="F59" s="407"/>
      <c r="G59" s="407"/>
      <c r="H59" s="407"/>
      <c r="I59" s="407"/>
      <c r="J59" s="407"/>
      <c r="K59" s="407"/>
    </row>
    <row r="60" spans="3:11" ht="28.8">
      <c r="C60" s="430" t="s">
        <v>467</v>
      </c>
      <c r="D60" s="217" t="s">
        <v>391</v>
      </c>
      <c r="E60" s="37"/>
      <c r="F60" s="407"/>
      <c r="G60" s="407"/>
      <c r="H60" s="407"/>
      <c r="I60" s="407"/>
      <c r="J60" s="407"/>
      <c r="K60" s="407"/>
    </row>
    <row r="61" spans="3:11" ht="21" customHeight="1">
      <c r="C61" s="430" t="s">
        <v>468</v>
      </c>
      <c r="D61" s="217" t="s">
        <v>391</v>
      </c>
      <c r="E61" s="37"/>
      <c r="F61" s="407"/>
      <c r="G61" s="407"/>
      <c r="H61" s="407"/>
      <c r="I61" s="407"/>
      <c r="J61" s="407"/>
      <c r="K61" s="407"/>
    </row>
    <row r="62" spans="3:11" ht="20.100000000000001" customHeight="1">
      <c r="C62" s="430" t="s">
        <v>469</v>
      </c>
      <c r="D62" s="217" t="s">
        <v>391</v>
      </c>
      <c r="F62" s="407"/>
      <c r="G62" s="407"/>
      <c r="H62" s="407"/>
      <c r="I62" s="407"/>
      <c r="J62" s="407"/>
      <c r="K62" s="407"/>
    </row>
    <row r="63" spans="3:11" ht="20.100000000000001" customHeight="1">
      <c r="C63" s="497" t="s">
        <v>470</v>
      </c>
      <c r="D63" s="217" t="s">
        <v>391</v>
      </c>
      <c r="E63" s="37"/>
      <c r="F63" s="407"/>
      <c r="G63" s="407"/>
      <c r="H63" s="407"/>
      <c r="I63" s="407"/>
      <c r="J63" s="407"/>
      <c r="K63" s="407"/>
    </row>
    <row r="64" spans="3:11" ht="20.100000000000001" customHeight="1">
      <c r="C64" s="436" t="s">
        <v>471</v>
      </c>
      <c r="D64" s="217" t="s">
        <v>391</v>
      </c>
      <c r="E64" s="37"/>
      <c r="F64" s="407"/>
      <c r="G64" s="407"/>
      <c r="H64" s="407"/>
      <c r="I64" s="407"/>
      <c r="J64" s="407"/>
      <c r="K64" s="407"/>
    </row>
    <row r="65" spans="3:11" ht="22.8" customHeight="1">
      <c r="C65" s="437" t="s">
        <v>472</v>
      </c>
      <c r="D65" s="218" t="s">
        <v>391</v>
      </c>
      <c r="E65" s="37"/>
      <c r="F65" s="407"/>
      <c r="G65" s="407"/>
      <c r="H65" s="407"/>
      <c r="I65" s="407"/>
      <c r="J65" s="407"/>
      <c r="K65" s="407"/>
    </row>
    <row r="66" spans="3:11" ht="20.100000000000001" customHeight="1">
      <c r="C66" s="427" t="s">
        <v>473</v>
      </c>
      <c r="D66" s="428"/>
      <c r="E66" s="37"/>
      <c r="F66" s="407"/>
      <c r="G66" s="407"/>
      <c r="H66" s="407"/>
      <c r="I66" s="407"/>
      <c r="J66" s="407"/>
      <c r="K66" s="407"/>
    </row>
    <row r="67" spans="3:11" ht="20.100000000000001" customHeight="1">
      <c r="C67" s="429" t="s">
        <v>474</v>
      </c>
      <c r="D67" s="216" t="s">
        <v>391</v>
      </c>
      <c r="E67" s="37"/>
      <c r="F67" s="407"/>
      <c r="G67" s="407"/>
      <c r="H67" s="407"/>
      <c r="I67" s="407"/>
      <c r="J67" s="407"/>
      <c r="K67" s="407"/>
    </row>
    <row r="68" spans="3:11" ht="20.100000000000001" customHeight="1">
      <c r="C68" s="431" t="s">
        <v>475</v>
      </c>
      <c r="D68" s="218" t="s">
        <v>391</v>
      </c>
      <c r="E68" s="37"/>
      <c r="F68" s="407"/>
      <c r="G68" s="407"/>
      <c r="H68" s="407"/>
      <c r="I68" s="407"/>
      <c r="J68" s="407"/>
      <c r="K68" s="407"/>
    </row>
    <row r="69" spans="3:11" ht="20.100000000000001" customHeight="1">
      <c r="C69" s="427" t="s">
        <v>476</v>
      </c>
      <c r="D69" s="428"/>
      <c r="E69" s="37"/>
      <c r="F69" s="407"/>
      <c r="G69" s="407"/>
      <c r="H69" s="407"/>
      <c r="I69" s="407"/>
      <c r="J69" s="407"/>
      <c r="K69" s="407"/>
    </row>
    <row r="70" spans="3:11" ht="20.100000000000001" customHeight="1">
      <c r="C70" s="429" t="s">
        <v>477</v>
      </c>
      <c r="D70" s="216" t="s">
        <v>391</v>
      </c>
      <c r="E70" s="37"/>
      <c r="F70" s="407"/>
      <c r="G70" s="407"/>
      <c r="H70" s="407"/>
      <c r="I70" s="407"/>
      <c r="J70" s="407"/>
      <c r="K70" s="407"/>
    </row>
    <row r="71" spans="3:11" ht="19.2" customHeight="1">
      <c r="C71" s="430" t="s">
        <v>478</v>
      </c>
      <c r="D71" s="217" t="s">
        <v>391</v>
      </c>
      <c r="E71" s="37"/>
      <c r="F71" s="407"/>
      <c r="G71" s="407"/>
      <c r="H71" s="407"/>
      <c r="I71" s="407"/>
      <c r="J71" s="407"/>
      <c r="K71" s="407"/>
    </row>
    <row r="72" spans="3:11" ht="20.100000000000001" customHeight="1">
      <c r="C72" s="431" t="s">
        <v>479</v>
      </c>
      <c r="D72" s="218" t="s">
        <v>391</v>
      </c>
      <c r="E72" s="37"/>
      <c r="F72" s="407"/>
      <c r="G72" s="407"/>
      <c r="H72" s="407"/>
      <c r="I72" s="407"/>
      <c r="J72" s="407"/>
      <c r="K72" s="407"/>
    </row>
    <row r="73" spans="3:11" ht="20.100000000000001" customHeight="1">
      <c r="C73" s="427" t="s">
        <v>480</v>
      </c>
      <c r="D73" s="428"/>
      <c r="E73" s="37"/>
      <c r="F73" s="407"/>
      <c r="G73" s="407"/>
      <c r="H73" s="407"/>
      <c r="I73" s="407"/>
      <c r="J73" s="407"/>
      <c r="K73" s="407"/>
    </row>
    <row r="74" spans="3:11" ht="20.100000000000001" customHeight="1">
      <c r="C74" s="429" t="s">
        <v>481</v>
      </c>
      <c r="D74" s="216" t="s">
        <v>391</v>
      </c>
      <c r="E74" s="37"/>
      <c r="F74" s="407"/>
      <c r="G74" s="407"/>
      <c r="H74" s="407"/>
      <c r="I74" s="407"/>
      <c r="J74" s="407"/>
      <c r="K74" s="407"/>
    </row>
    <row r="75" spans="3:11" ht="20.100000000000001" customHeight="1">
      <c r="C75" s="438" t="s">
        <v>482</v>
      </c>
      <c r="D75" s="218" t="s">
        <v>391</v>
      </c>
      <c r="E75" s="37"/>
      <c r="F75" s="407"/>
      <c r="G75" s="407"/>
      <c r="H75" s="407"/>
      <c r="I75" s="407"/>
      <c r="J75" s="407"/>
      <c r="K75" s="407"/>
    </row>
    <row r="76" spans="3:11" ht="20.100000000000001" customHeight="1">
      <c r="C76" s="439" t="s">
        <v>548</v>
      </c>
      <c r="D76" s="440"/>
      <c r="E76" s="37"/>
      <c r="F76" s="407"/>
      <c r="G76" s="407"/>
      <c r="H76" s="407"/>
      <c r="I76" s="407"/>
      <c r="J76" s="407"/>
      <c r="K76" s="407"/>
    </row>
    <row r="77" spans="3:11" ht="20.100000000000001" customHeight="1" thickBot="1">
      <c r="C77" s="441" t="s">
        <v>549</v>
      </c>
      <c r="D77" s="218" t="s">
        <v>391</v>
      </c>
      <c r="E77" s="37"/>
      <c r="F77" s="407"/>
      <c r="G77" s="407"/>
      <c r="H77" s="407"/>
      <c r="I77" s="407"/>
      <c r="J77" s="407"/>
      <c r="K77" s="407"/>
    </row>
    <row r="78" spans="3:11" ht="20.100000000000001" customHeight="1">
      <c r="C78" s="434" t="s">
        <v>483</v>
      </c>
      <c r="D78" s="435"/>
      <c r="E78" s="37"/>
      <c r="F78" s="407"/>
      <c r="G78" s="407"/>
      <c r="H78" s="407"/>
      <c r="I78" s="407"/>
      <c r="J78" s="407"/>
      <c r="K78" s="407"/>
    </row>
    <row r="79" spans="3:11" ht="20.100000000000001" customHeight="1" thickBot="1">
      <c r="C79" s="432" t="s">
        <v>484</v>
      </c>
      <c r="D79" s="219" t="s">
        <v>391</v>
      </c>
      <c r="E79" s="37"/>
      <c r="F79" s="407"/>
      <c r="G79" s="407"/>
      <c r="H79" s="407"/>
      <c r="I79" s="407"/>
      <c r="J79" s="407"/>
      <c r="K79" s="407"/>
    </row>
    <row r="80" spans="3:11" ht="20.100000000000001" customHeight="1">
      <c r="C80" s="434" t="s">
        <v>485</v>
      </c>
      <c r="D80" s="435"/>
      <c r="E80" s="37"/>
      <c r="F80" s="407"/>
      <c r="G80" s="407"/>
      <c r="H80" s="407"/>
      <c r="I80" s="407"/>
      <c r="J80" s="407"/>
      <c r="K80" s="407"/>
    </row>
    <row r="81" spans="3:11" ht="20.100000000000001" customHeight="1">
      <c r="C81" s="429" t="s">
        <v>486</v>
      </c>
      <c r="D81" s="216" t="s">
        <v>391</v>
      </c>
      <c r="E81" s="37"/>
      <c r="F81" s="407"/>
      <c r="G81" s="407"/>
      <c r="H81" s="407"/>
      <c r="I81" s="407"/>
      <c r="J81" s="407"/>
      <c r="K81" s="407"/>
    </row>
    <row r="82" spans="3:11" ht="20.100000000000001" customHeight="1">
      <c r="C82" s="430" t="s">
        <v>487</v>
      </c>
      <c r="D82" s="217" t="s">
        <v>391</v>
      </c>
      <c r="E82" s="37"/>
      <c r="F82" s="407"/>
      <c r="G82" s="407"/>
      <c r="H82" s="407"/>
      <c r="I82" s="407"/>
      <c r="J82" s="407"/>
      <c r="K82" s="407"/>
    </row>
    <row r="83" spans="3:11" ht="20.100000000000001" customHeight="1" thickBot="1">
      <c r="C83" s="442" t="s">
        <v>488</v>
      </c>
      <c r="D83" s="220" t="s">
        <v>391</v>
      </c>
      <c r="E83" s="39"/>
      <c r="F83" s="407"/>
      <c r="G83" s="407"/>
      <c r="H83" s="407"/>
      <c r="I83" s="407"/>
      <c r="J83" s="407"/>
      <c r="K83" s="407"/>
    </row>
    <row r="84" spans="3:11" ht="20.100000000000001" customHeight="1">
      <c r="C84" s="434" t="s">
        <v>489</v>
      </c>
      <c r="D84" s="435"/>
      <c r="E84" s="37"/>
      <c r="F84" s="407"/>
      <c r="G84" s="407"/>
      <c r="H84" s="407"/>
      <c r="I84" s="407"/>
      <c r="J84" s="407"/>
      <c r="K84" s="407"/>
    </row>
    <row r="85" spans="3:11" ht="20.100000000000001" customHeight="1">
      <c r="C85" s="429" t="s">
        <v>490</v>
      </c>
      <c r="D85" s="216" t="s">
        <v>391</v>
      </c>
      <c r="E85" s="37"/>
      <c r="F85" s="407"/>
      <c r="G85" s="407"/>
      <c r="H85" s="407"/>
      <c r="I85" s="407"/>
      <c r="J85" s="407"/>
      <c r="K85" s="407"/>
    </row>
    <row r="86" spans="3:11" ht="20.100000000000001" customHeight="1">
      <c r="C86" s="430" t="s">
        <v>491</v>
      </c>
      <c r="D86" s="217" t="s">
        <v>391</v>
      </c>
      <c r="E86" s="37"/>
      <c r="F86" s="407"/>
      <c r="G86" s="407"/>
      <c r="H86" s="407"/>
      <c r="I86" s="407"/>
      <c r="J86" s="407"/>
      <c r="K86" s="407"/>
    </row>
    <row r="87" spans="3:11" ht="20.100000000000001" customHeight="1">
      <c r="C87" s="430" t="s">
        <v>492</v>
      </c>
      <c r="D87" s="217" t="s">
        <v>391</v>
      </c>
      <c r="E87" s="37"/>
      <c r="F87" s="407"/>
      <c r="G87" s="407"/>
      <c r="H87" s="407"/>
      <c r="I87" s="407"/>
      <c r="J87" s="407"/>
      <c r="K87" s="407"/>
    </row>
    <row r="88" spans="3:11" ht="19.350000000000001" customHeight="1">
      <c r="C88" s="430" t="s">
        <v>493</v>
      </c>
      <c r="D88" s="217" t="s">
        <v>391</v>
      </c>
      <c r="E88" s="37"/>
      <c r="F88" s="407"/>
      <c r="G88" s="407"/>
      <c r="H88" s="407"/>
      <c r="I88" s="407"/>
      <c r="J88" s="407"/>
      <c r="K88" s="407"/>
    </row>
    <row r="89" spans="3:11" ht="19.8" customHeight="1">
      <c r="C89" s="430" t="s">
        <v>494</v>
      </c>
      <c r="D89" s="217" t="s">
        <v>391</v>
      </c>
      <c r="E89" s="37"/>
      <c r="F89" s="407"/>
      <c r="G89" s="407"/>
      <c r="H89" s="407"/>
      <c r="I89" s="407"/>
      <c r="J89" s="407"/>
      <c r="K89" s="407"/>
    </row>
    <row r="90" spans="3:11" ht="19.95" customHeight="1">
      <c r="C90" s="430" t="s">
        <v>495</v>
      </c>
      <c r="D90" s="217" t="s">
        <v>391</v>
      </c>
      <c r="E90" s="37"/>
      <c r="F90" s="407"/>
      <c r="G90" s="407"/>
      <c r="H90" s="407"/>
      <c r="I90" s="407"/>
      <c r="J90" s="407"/>
      <c r="K90" s="407"/>
    </row>
    <row r="91" spans="3:11" ht="19.95" customHeight="1" thickBot="1">
      <c r="C91" s="430" t="s">
        <v>496</v>
      </c>
      <c r="D91" s="250" t="s">
        <v>391</v>
      </c>
      <c r="E91" s="37"/>
      <c r="F91" s="407"/>
      <c r="G91" s="407"/>
      <c r="H91" s="407"/>
      <c r="I91" s="407"/>
      <c r="J91" s="407"/>
      <c r="K91" s="407"/>
    </row>
    <row r="92" spans="3:11" ht="20.100000000000001" customHeight="1">
      <c r="C92" s="434" t="s">
        <v>497</v>
      </c>
      <c r="D92" s="435"/>
      <c r="E92" s="37"/>
      <c r="F92" s="407"/>
      <c r="G92" s="407"/>
      <c r="H92" s="407"/>
      <c r="I92" s="407"/>
      <c r="J92" s="407"/>
      <c r="K92" s="407"/>
    </row>
    <row r="93" spans="3:11" ht="20.100000000000001" customHeight="1" thickBot="1">
      <c r="C93" s="432" t="s">
        <v>498</v>
      </c>
      <c r="D93" s="219" t="s">
        <v>391</v>
      </c>
      <c r="E93" s="37"/>
      <c r="F93" s="407"/>
      <c r="G93" s="407"/>
      <c r="H93" s="407"/>
      <c r="I93" s="407"/>
      <c r="J93" s="407"/>
      <c r="K93" s="407"/>
    </row>
    <row r="94" spans="3:11" ht="20.100000000000001" customHeight="1">
      <c r="C94" s="434" t="s">
        <v>499</v>
      </c>
      <c r="D94" s="435"/>
      <c r="E94" s="37"/>
      <c r="F94" s="407"/>
      <c r="G94" s="407"/>
      <c r="H94" s="407"/>
      <c r="I94" s="407"/>
      <c r="J94" s="407"/>
      <c r="K94" s="407"/>
    </row>
    <row r="95" spans="3:11" ht="21.6" customHeight="1" thickBot="1">
      <c r="C95" s="432" t="s">
        <v>500</v>
      </c>
      <c r="D95" s="219" t="s">
        <v>391</v>
      </c>
      <c r="E95" s="37"/>
      <c r="F95" s="407"/>
      <c r="G95" s="407"/>
      <c r="H95" s="407"/>
      <c r="I95" s="407"/>
      <c r="J95" s="407"/>
      <c r="K95" s="407"/>
    </row>
    <row r="96" spans="3:11" ht="20.100000000000001" customHeight="1">
      <c r="C96" s="434" t="s">
        <v>501</v>
      </c>
      <c r="D96" s="435"/>
      <c r="E96" s="37"/>
      <c r="F96" s="407"/>
      <c r="G96" s="407"/>
      <c r="H96" s="407"/>
      <c r="I96" s="407"/>
      <c r="J96" s="407"/>
      <c r="K96" s="407"/>
    </row>
    <row r="97" spans="3:11" ht="20.100000000000001" customHeight="1">
      <c r="C97" s="429" t="s">
        <v>502</v>
      </c>
      <c r="D97" s="216" t="s">
        <v>391</v>
      </c>
      <c r="E97" s="37"/>
      <c r="F97" s="407"/>
      <c r="G97" s="407"/>
      <c r="H97" s="407"/>
      <c r="I97" s="407"/>
      <c r="J97" s="407"/>
      <c r="K97" s="407"/>
    </row>
    <row r="98" spans="3:11" ht="20.100000000000001" customHeight="1">
      <c r="C98" s="430" t="s">
        <v>503</v>
      </c>
      <c r="D98" s="217" t="s">
        <v>391</v>
      </c>
      <c r="E98" s="37"/>
      <c r="F98" s="407"/>
      <c r="G98" s="407"/>
      <c r="H98" s="407"/>
      <c r="I98" s="407"/>
      <c r="J98" s="407"/>
      <c r="K98" s="407"/>
    </row>
    <row r="99" spans="3:11" ht="20.100000000000001" customHeight="1">
      <c r="C99" s="430" t="s">
        <v>504</v>
      </c>
      <c r="D99" s="217" t="s">
        <v>391</v>
      </c>
      <c r="E99" s="37"/>
      <c r="F99" s="407"/>
      <c r="G99" s="407"/>
      <c r="H99" s="407"/>
      <c r="I99" s="407"/>
      <c r="J99" s="407"/>
      <c r="K99" s="407"/>
    </row>
    <row r="100" spans="3:11" ht="20.100000000000001" customHeight="1">
      <c r="C100" s="430" t="s">
        <v>505</v>
      </c>
      <c r="D100" s="217" t="s">
        <v>391</v>
      </c>
      <c r="E100" s="37"/>
      <c r="F100" s="407"/>
      <c r="G100" s="407"/>
      <c r="H100" s="407"/>
      <c r="I100" s="407"/>
      <c r="J100" s="407"/>
      <c r="K100" s="407"/>
    </row>
    <row r="101" spans="3:11" ht="20.100000000000001" customHeight="1">
      <c r="C101" s="430" t="s">
        <v>506</v>
      </c>
      <c r="D101" s="217" t="s">
        <v>391</v>
      </c>
      <c r="E101" s="37"/>
      <c r="F101" s="407"/>
      <c r="G101" s="407"/>
      <c r="H101" s="407"/>
      <c r="I101" s="407"/>
      <c r="J101" s="407"/>
      <c r="K101" s="407"/>
    </row>
    <row r="102" spans="3:11" ht="20.100000000000001" customHeight="1">
      <c r="C102" s="430" t="s">
        <v>507</v>
      </c>
      <c r="D102" s="217" t="s">
        <v>391</v>
      </c>
      <c r="E102" s="37"/>
      <c r="F102" s="407"/>
      <c r="G102" s="407"/>
      <c r="H102" s="407"/>
      <c r="I102" s="407"/>
      <c r="J102" s="407"/>
      <c r="K102" s="407"/>
    </row>
    <row r="103" spans="3:11" ht="20.100000000000001" customHeight="1">
      <c r="C103" s="436" t="s">
        <v>508</v>
      </c>
      <c r="D103" s="217" t="s">
        <v>391</v>
      </c>
      <c r="E103" s="37"/>
      <c r="F103" s="407"/>
      <c r="G103" s="407"/>
      <c r="H103" s="407"/>
      <c r="I103" s="407"/>
      <c r="J103" s="407"/>
      <c r="K103" s="407"/>
    </row>
    <row r="104" spans="3:11" ht="20.100000000000001" customHeight="1">
      <c r="C104" s="430" t="s">
        <v>509</v>
      </c>
      <c r="D104" s="217" t="s">
        <v>391</v>
      </c>
      <c r="E104" s="39"/>
      <c r="F104" s="407"/>
      <c r="G104" s="407"/>
      <c r="H104" s="407"/>
      <c r="I104" s="407"/>
      <c r="J104" s="407"/>
      <c r="K104" s="407"/>
    </row>
    <row r="105" spans="3:11" ht="20.100000000000001" customHeight="1">
      <c r="C105" s="430" t="s">
        <v>510</v>
      </c>
      <c r="D105" s="217" t="s">
        <v>391</v>
      </c>
      <c r="E105" s="37"/>
      <c r="F105" s="407"/>
      <c r="G105" s="407"/>
      <c r="H105" s="407"/>
      <c r="I105" s="407"/>
      <c r="J105" s="407"/>
      <c r="K105" s="407"/>
    </row>
    <row r="106" spans="3:11" ht="20.100000000000001" customHeight="1" thickBot="1">
      <c r="C106" s="431" t="s">
        <v>511</v>
      </c>
      <c r="D106" s="218" t="s">
        <v>391</v>
      </c>
      <c r="E106" s="37"/>
      <c r="F106" s="407"/>
      <c r="G106" s="407"/>
      <c r="H106" s="407"/>
      <c r="I106" s="407"/>
      <c r="J106" s="407"/>
      <c r="K106" s="407"/>
    </row>
    <row r="107" spans="3:11" ht="20.100000000000001" customHeight="1">
      <c r="C107" s="434" t="s">
        <v>512</v>
      </c>
      <c r="D107" s="435"/>
      <c r="E107" s="37"/>
      <c r="F107" s="407"/>
      <c r="G107" s="407"/>
      <c r="H107" s="407"/>
      <c r="I107" s="407"/>
      <c r="J107" s="407"/>
      <c r="K107" s="407"/>
    </row>
    <row r="108" spans="3:11" ht="20.100000000000001" customHeight="1">
      <c r="C108" s="429" t="s">
        <v>513</v>
      </c>
      <c r="D108" s="216" t="s">
        <v>391</v>
      </c>
      <c r="E108" s="37"/>
      <c r="F108" s="407"/>
      <c r="G108" s="407"/>
      <c r="H108" s="407"/>
      <c r="I108" s="407"/>
      <c r="J108" s="407"/>
      <c r="K108" s="407"/>
    </row>
    <row r="109" spans="3:11" ht="20.100000000000001" customHeight="1" thickBot="1">
      <c r="C109" s="431" t="s">
        <v>514</v>
      </c>
      <c r="D109" s="218" t="s">
        <v>391</v>
      </c>
      <c r="E109" s="37"/>
      <c r="F109" s="407"/>
      <c r="G109" s="407"/>
      <c r="H109" s="407"/>
      <c r="I109" s="407"/>
      <c r="J109" s="407"/>
      <c r="K109" s="407"/>
    </row>
    <row r="110" spans="3:11" ht="20.100000000000001" customHeight="1">
      <c r="C110" s="434" t="s">
        <v>515</v>
      </c>
      <c r="D110" s="435"/>
      <c r="E110" s="37"/>
      <c r="F110" s="407"/>
      <c r="G110" s="407"/>
      <c r="H110" s="407"/>
      <c r="I110" s="407"/>
      <c r="J110" s="407"/>
      <c r="K110" s="407"/>
    </row>
    <row r="111" spans="3:11" ht="20.100000000000001" customHeight="1" thickBot="1">
      <c r="C111" s="432" t="s">
        <v>626</v>
      </c>
      <c r="D111" s="219" t="s">
        <v>391</v>
      </c>
      <c r="E111" s="37"/>
      <c r="F111" s="407"/>
      <c r="G111" s="407"/>
      <c r="H111" s="407"/>
      <c r="I111" s="407"/>
      <c r="J111" s="407"/>
      <c r="K111" s="407"/>
    </row>
    <row r="112" spans="3:11" ht="20.100000000000001" customHeight="1">
      <c r="C112" s="434" t="s">
        <v>517</v>
      </c>
      <c r="D112" s="435"/>
      <c r="E112" s="37"/>
      <c r="F112" s="407"/>
      <c r="G112" s="407"/>
      <c r="H112" s="407"/>
      <c r="I112" s="407"/>
      <c r="J112" s="407"/>
      <c r="K112" s="407"/>
    </row>
    <row r="113" spans="3:11" ht="29.55" customHeight="1" thickBot="1">
      <c r="C113" s="433" t="s">
        <v>518</v>
      </c>
      <c r="D113" s="221" t="s">
        <v>391</v>
      </c>
      <c r="E113" s="37"/>
      <c r="F113" s="407"/>
      <c r="G113" s="407"/>
      <c r="H113" s="407"/>
      <c r="I113" s="407"/>
      <c r="J113" s="407"/>
      <c r="K113" s="407"/>
    </row>
    <row r="114" spans="3:11" ht="30" customHeight="1" thickTop="1" thickBot="1">
      <c r="C114" s="423" t="s">
        <v>519</v>
      </c>
      <c r="D114" s="443"/>
      <c r="E114" s="37"/>
      <c r="F114" s="407"/>
      <c r="G114" s="407"/>
      <c r="H114" s="407"/>
      <c r="I114" s="407"/>
      <c r="J114" s="407"/>
      <c r="K114" s="407"/>
    </row>
    <row r="115" spans="3:11" ht="20.100000000000001" customHeight="1" thickTop="1">
      <c r="C115" s="425" t="s">
        <v>520</v>
      </c>
      <c r="D115" s="426"/>
      <c r="E115" s="37"/>
      <c r="F115" s="407"/>
      <c r="G115" s="407"/>
      <c r="H115" s="407"/>
      <c r="I115" s="407"/>
      <c r="J115" s="407"/>
      <c r="K115" s="407"/>
    </row>
    <row r="116" spans="3:11" ht="20.100000000000001" customHeight="1" thickBot="1">
      <c r="C116" s="432" t="s">
        <v>521</v>
      </c>
      <c r="D116" s="219" t="s">
        <v>391</v>
      </c>
      <c r="E116" s="37"/>
      <c r="F116" s="407"/>
      <c r="G116" s="407"/>
      <c r="H116" s="407"/>
      <c r="I116" s="407"/>
      <c r="J116" s="407"/>
      <c r="K116" s="407"/>
    </row>
    <row r="117" spans="3:11" ht="20.100000000000001" customHeight="1">
      <c r="C117" s="434" t="s">
        <v>522</v>
      </c>
      <c r="D117" s="435"/>
      <c r="E117" s="37"/>
      <c r="F117" s="407"/>
      <c r="G117" s="407"/>
      <c r="H117" s="407"/>
      <c r="I117" s="407"/>
      <c r="J117" s="407"/>
      <c r="K117" s="407"/>
    </row>
    <row r="118" spans="3:11" ht="20.100000000000001" customHeight="1" thickBot="1">
      <c r="C118" s="432" t="s">
        <v>523</v>
      </c>
      <c r="D118" s="219" t="s">
        <v>391</v>
      </c>
      <c r="E118" s="37"/>
      <c r="F118" s="407"/>
      <c r="G118" s="407"/>
      <c r="H118" s="407"/>
      <c r="I118" s="407"/>
      <c r="J118" s="407"/>
      <c r="K118" s="407"/>
    </row>
    <row r="119" spans="3:11" ht="20.100000000000001" customHeight="1">
      <c r="C119" s="434" t="s">
        <v>524</v>
      </c>
      <c r="D119" s="435"/>
      <c r="E119" s="37"/>
      <c r="F119" s="407"/>
      <c r="G119" s="407"/>
      <c r="H119" s="407"/>
      <c r="I119" s="407"/>
      <c r="J119" s="407"/>
      <c r="K119" s="407"/>
    </row>
    <row r="120" spans="3:11" ht="29.4" thickBot="1">
      <c r="C120" s="432" t="s">
        <v>525</v>
      </c>
      <c r="D120" s="219" t="s">
        <v>391</v>
      </c>
      <c r="E120" s="37"/>
      <c r="F120" s="407"/>
      <c r="G120" s="407"/>
      <c r="H120" s="407"/>
      <c r="I120" s="407"/>
      <c r="J120" s="407"/>
      <c r="K120" s="407"/>
    </row>
    <row r="121" spans="3:11" ht="20.100000000000001" customHeight="1">
      <c r="C121" s="434" t="s">
        <v>526</v>
      </c>
      <c r="D121" s="435"/>
      <c r="E121" s="37"/>
      <c r="F121" s="407"/>
      <c r="G121" s="407"/>
      <c r="H121" s="407"/>
      <c r="I121" s="407"/>
      <c r="J121" s="407"/>
      <c r="K121" s="407"/>
    </row>
    <row r="122" spans="3:11" ht="18.600000000000001" customHeight="1" thickBot="1">
      <c r="C122" s="433" t="s">
        <v>527</v>
      </c>
      <c r="D122" s="219" t="s">
        <v>391</v>
      </c>
      <c r="E122" s="39"/>
      <c r="F122" s="407"/>
      <c r="G122" s="407"/>
      <c r="H122" s="407"/>
      <c r="I122" s="407"/>
      <c r="J122" s="407"/>
      <c r="K122" s="407"/>
    </row>
    <row r="123" spans="3:11" ht="20.100000000000001" customHeight="1">
      <c r="C123" s="434" t="s">
        <v>528</v>
      </c>
      <c r="D123" s="435"/>
      <c r="E123" s="37"/>
      <c r="F123" s="407"/>
      <c r="G123" s="407"/>
      <c r="H123" s="407"/>
      <c r="I123" s="407"/>
      <c r="J123" s="407"/>
      <c r="K123" s="407"/>
    </row>
    <row r="124" spans="3:11" ht="20.100000000000001" customHeight="1">
      <c r="C124" s="427" t="s">
        <v>529</v>
      </c>
      <c r="D124" s="444"/>
      <c r="E124" s="37"/>
      <c r="F124" s="407"/>
      <c r="G124" s="407"/>
      <c r="H124" s="407"/>
      <c r="I124" s="407"/>
      <c r="J124" s="407"/>
      <c r="K124" s="407"/>
    </row>
    <row r="125" spans="3:11" ht="20.100000000000001" customHeight="1">
      <c r="C125" s="432" t="s">
        <v>530</v>
      </c>
      <c r="D125" s="219" t="s">
        <v>391</v>
      </c>
      <c r="E125" s="37"/>
      <c r="F125" s="407"/>
      <c r="G125" s="407"/>
      <c r="H125" s="407"/>
      <c r="I125" s="407"/>
      <c r="J125" s="407"/>
      <c r="K125" s="407"/>
    </row>
    <row r="126" spans="3:11" ht="20.100000000000001" customHeight="1">
      <c r="C126" s="427" t="s">
        <v>531</v>
      </c>
      <c r="D126" s="444"/>
      <c r="E126" s="37"/>
      <c r="F126" s="407"/>
      <c r="G126" s="407"/>
      <c r="H126" s="407"/>
      <c r="I126" s="407"/>
      <c r="J126" s="407"/>
      <c r="K126" s="407"/>
    </row>
    <row r="127" spans="3:11" ht="20.100000000000001" customHeight="1">
      <c r="C127" s="432" t="s">
        <v>532</v>
      </c>
      <c r="D127" s="219" t="s">
        <v>391</v>
      </c>
      <c r="E127" s="37"/>
      <c r="F127" s="407"/>
      <c r="G127" s="407"/>
      <c r="H127" s="407"/>
      <c r="I127" s="407"/>
      <c r="J127" s="407"/>
      <c r="K127" s="407"/>
    </row>
    <row r="128" spans="3:11" ht="20.100000000000001" customHeight="1">
      <c r="C128" s="427" t="s">
        <v>533</v>
      </c>
      <c r="D128" s="444"/>
      <c r="E128" s="37"/>
      <c r="F128" s="407"/>
      <c r="G128" s="407"/>
      <c r="H128" s="407"/>
      <c r="I128" s="407"/>
      <c r="J128" s="407"/>
      <c r="K128" s="407"/>
    </row>
    <row r="129" spans="3:11" ht="20.100000000000001" customHeight="1">
      <c r="C129" s="432" t="s">
        <v>534</v>
      </c>
      <c r="D129" s="219" t="s">
        <v>391</v>
      </c>
      <c r="E129" s="37"/>
      <c r="F129" s="407"/>
      <c r="G129" s="407"/>
      <c r="H129" s="407"/>
      <c r="I129" s="407"/>
      <c r="J129" s="407"/>
      <c r="K129" s="407"/>
    </row>
    <row r="130" spans="3:11" ht="20.100000000000001" customHeight="1">
      <c r="C130" s="427" t="s">
        <v>535</v>
      </c>
      <c r="D130" s="444"/>
      <c r="E130" s="37"/>
      <c r="F130" s="407"/>
      <c r="G130" s="407"/>
      <c r="H130" s="407"/>
      <c r="I130" s="407"/>
      <c r="J130" s="407"/>
      <c r="K130" s="407"/>
    </row>
    <row r="131" spans="3:11" ht="20.100000000000001" customHeight="1">
      <c r="C131" s="432" t="s">
        <v>536</v>
      </c>
      <c r="D131" s="219" t="s">
        <v>391</v>
      </c>
      <c r="E131" s="37"/>
      <c r="F131" s="407"/>
      <c r="G131" s="407"/>
      <c r="H131" s="407"/>
      <c r="I131" s="407"/>
      <c r="J131" s="407"/>
      <c r="K131" s="407"/>
    </row>
    <row r="132" spans="3:11" ht="20.100000000000001" customHeight="1">
      <c r="C132" s="427" t="s">
        <v>537</v>
      </c>
      <c r="D132" s="444"/>
      <c r="E132" s="37"/>
      <c r="F132" s="407"/>
      <c r="G132" s="407"/>
      <c r="H132" s="407"/>
      <c r="I132" s="407"/>
      <c r="J132" s="407"/>
      <c r="K132" s="407"/>
    </row>
    <row r="133" spans="3:11" ht="20.100000000000001" customHeight="1">
      <c r="C133" s="432" t="s">
        <v>538</v>
      </c>
      <c r="D133" s="219" t="s">
        <v>391</v>
      </c>
      <c r="E133" s="37"/>
      <c r="F133" s="407"/>
      <c r="G133" s="407"/>
      <c r="H133" s="407"/>
      <c r="I133" s="407"/>
      <c r="J133" s="407"/>
      <c r="K133" s="407"/>
    </row>
    <row r="134" spans="3:11" ht="20.100000000000001" customHeight="1">
      <c r="C134" s="427" t="s">
        <v>539</v>
      </c>
      <c r="D134" s="444"/>
      <c r="E134" s="37"/>
      <c r="F134" s="407"/>
      <c r="G134" s="407"/>
      <c r="H134" s="407"/>
      <c r="I134" s="407"/>
      <c r="J134" s="407"/>
      <c r="K134" s="407"/>
    </row>
    <row r="135" spans="3:11" ht="20.100000000000001" customHeight="1" thickBot="1">
      <c r="C135" s="432" t="s">
        <v>540</v>
      </c>
      <c r="D135" s="219" t="s">
        <v>391</v>
      </c>
      <c r="E135" s="37"/>
      <c r="F135" s="407"/>
      <c r="G135" s="407"/>
      <c r="H135" s="407"/>
      <c r="I135" s="407"/>
      <c r="J135" s="407"/>
      <c r="K135" s="407"/>
    </row>
    <row r="136" spans="3:11" ht="20.100000000000001" customHeight="1">
      <c r="C136" s="434" t="s">
        <v>541</v>
      </c>
      <c r="D136" s="435"/>
      <c r="E136" s="37"/>
      <c r="F136" s="407"/>
      <c r="G136" s="407"/>
      <c r="H136" s="407"/>
      <c r="I136" s="407"/>
      <c r="J136" s="407"/>
      <c r="K136" s="407"/>
    </row>
    <row r="137" spans="3:11" ht="20.100000000000001" customHeight="1">
      <c r="C137" s="429" t="s">
        <v>542</v>
      </c>
      <c r="D137" s="216" t="s">
        <v>391</v>
      </c>
      <c r="E137" s="37"/>
      <c r="F137" s="407"/>
      <c r="G137" s="407"/>
      <c r="H137" s="407"/>
      <c r="I137" s="407"/>
      <c r="J137" s="407"/>
      <c r="K137" s="407"/>
    </row>
    <row r="138" spans="3:11" ht="20.100000000000001" customHeight="1">
      <c r="C138" s="430" t="s">
        <v>543</v>
      </c>
      <c r="D138" s="217" t="s">
        <v>391</v>
      </c>
      <c r="E138" s="37"/>
      <c r="F138" s="407"/>
      <c r="G138" s="407"/>
      <c r="H138" s="407"/>
      <c r="I138" s="407"/>
      <c r="J138" s="407"/>
      <c r="K138" s="407"/>
    </row>
    <row r="139" spans="3:11" ht="20.100000000000001" customHeight="1" thickBot="1">
      <c r="C139" s="438" t="s">
        <v>544</v>
      </c>
      <c r="D139" s="218" t="s">
        <v>391</v>
      </c>
      <c r="E139" s="37"/>
      <c r="F139" s="407"/>
      <c r="G139" s="407"/>
      <c r="H139" s="407"/>
      <c r="I139" s="407"/>
      <c r="J139" s="407"/>
      <c r="K139" s="407"/>
    </row>
    <row r="140" spans="3:11" ht="20.100000000000001" customHeight="1">
      <c r="C140" s="434" t="s">
        <v>545</v>
      </c>
      <c r="D140" s="435"/>
      <c r="E140" s="37"/>
      <c r="F140" s="407"/>
      <c r="G140" s="407"/>
      <c r="H140" s="407"/>
      <c r="I140" s="407"/>
      <c r="J140" s="407"/>
      <c r="K140" s="407"/>
    </row>
    <row r="141" spans="3:11" ht="20.100000000000001" customHeight="1" thickBot="1">
      <c r="C141" s="433" t="s">
        <v>546</v>
      </c>
      <c r="D141" s="222" t="s">
        <v>391</v>
      </c>
      <c r="E141" s="37"/>
      <c r="F141" s="407"/>
      <c r="G141" s="407"/>
      <c r="H141" s="407"/>
      <c r="I141" s="407"/>
      <c r="J141" s="407"/>
      <c r="K141" s="407"/>
    </row>
    <row r="142" spans="3:11" ht="20.100000000000001" customHeight="1" thickBot="1">
      <c r="C142" s="445" t="s">
        <v>550</v>
      </c>
      <c r="D142" s="223" t="s">
        <v>391</v>
      </c>
      <c r="E142" s="227"/>
      <c r="F142" s="407"/>
      <c r="G142" s="407"/>
      <c r="H142" s="407"/>
      <c r="I142" s="407"/>
      <c r="J142" s="407"/>
      <c r="K142" s="407"/>
    </row>
    <row r="143" spans="3:11" ht="30" customHeight="1" thickBot="1">
      <c r="C143" s="446" t="s">
        <v>551</v>
      </c>
      <c r="D143" s="447">
        <f>COUNTIF(D31:D141,Liste!$B$4)</f>
        <v>0</v>
      </c>
      <c r="E143" s="37"/>
      <c r="F143" s="407"/>
      <c r="G143" s="407"/>
      <c r="H143" s="407"/>
      <c r="I143" s="407"/>
      <c r="J143" s="407"/>
      <c r="K143" s="407"/>
    </row>
    <row r="144" spans="3:11" ht="20.100000000000001" customHeight="1" thickBot="1">
      <c r="E144" s="37"/>
      <c r="F144" s="407"/>
      <c r="G144" s="407"/>
      <c r="H144" s="407"/>
      <c r="I144" s="407"/>
      <c r="J144" s="407"/>
      <c r="K144" s="407"/>
    </row>
    <row r="145" spans="3:11" ht="33" customHeight="1" thickTop="1" thickBot="1">
      <c r="C145" s="448" t="s">
        <v>552</v>
      </c>
      <c r="D145" s="449"/>
      <c r="E145" s="37"/>
      <c r="F145" s="407"/>
      <c r="G145" s="407"/>
      <c r="H145" s="407"/>
      <c r="I145" s="407"/>
      <c r="J145" s="407"/>
      <c r="K145" s="407"/>
    </row>
    <row r="146" spans="3:11" s="10" customFormat="1" ht="35.549999999999997" customHeight="1" thickTop="1">
      <c r="C146" s="551" t="s">
        <v>556</v>
      </c>
      <c r="D146" s="552"/>
      <c r="E146" s="40"/>
      <c r="F146" s="468"/>
      <c r="G146" s="468"/>
      <c r="H146" s="468"/>
      <c r="I146" s="468"/>
      <c r="J146" s="468"/>
      <c r="K146" s="468"/>
    </row>
    <row r="147" spans="3:11" s="10" customFormat="1" ht="10.050000000000001" customHeight="1">
      <c r="C147" s="568"/>
      <c r="D147" s="569"/>
      <c r="E147" s="40"/>
      <c r="F147" s="468"/>
      <c r="G147" s="468"/>
      <c r="H147" s="468"/>
      <c r="I147" s="468"/>
      <c r="J147" s="468"/>
      <c r="K147" s="468"/>
    </row>
    <row r="148" spans="3:11" s="10" customFormat="1" ht="20.100000000000001" customHeight="1">
      <c r="C148" s="563" t="s">
        <v>557</v>
      </c>
      <c r="D148" s="564"/>
      <c r="E148" s="40"/>
      <c r="F148" s="468"/>
      <c r="G148" s="468"/>
      <c r="H148" s="468"/>
      <c r="I148" s="468"/>
      <c r="J148" s="468"/>
      <c r="K148" s="468"/>
    </row>
    <row r="149" spans="3:11" s="10" customFormat="1" ht="10.050000000000001" customHeight="1">
      <c r="C149" s="567"/>
      <c r="D149" s="566"/>
      <c r="E149" s="40"/>
      <c r="F149" s="468"/>
      <c r="G149" s="468"/>
      <c r="H149" s="468"/>
      <c r="I149" s="468"/>
      <c r="J149" s="468"/>
      <c r="K149" s="468"/>
    </row>
    <row r="150" spans="3:11" s="10" customFormat="1" ht="20.100000000000001" customHeight="1">
      <c r="C150" s="454" t="s">
        <v>558</v>
      </c>
      <c r="D150" s="326" t="s">
        <v>382</v>
      </c>
      <c r="E150" s="40"/>
      <c r="F150" s="468"/>
      <c r="G150" s="468"/>
      <c r="H150" s="468"/>
      <c r="I150" s="468"/>
      <c r="J150" s="468"/>
      <c r="K150" s="468"/>
    </row>
    <row r="151" spans="3:11" s="10" customFormat="1" ht="20.100000000000001" customHeight="1">
      <c r="C151" s="484" t="s">
        <v>559</v>
      </c>
      <c r="D151" s="485" t="s">
        <v>382</v>
      </c>
      <c r="E151" s="40"/>
      <c r="F151" s="468"/>
      <c r="G151" s="468"/>
      <c r="H151" s="468"/>
      <c r="I151" s="468"/>
      <c r="J151" s="468"/>
      <c r="K151" s="468"/>
    </row>
    <row r="152" spans="3:11" s="10" customFormat="1" ht="20.100000000000001" customHeight="1">
      <c r="C152" s="484" t="s">
        <v>560</v>
      </c>
      <c r="D152" s="485" t="s">
        <v>382</v>
      </c>
      <c r="E152" s="40"/>
      <c r="F152" s="468"/>
      <c r="G152" s="468"/>
      <c r="H152" s="468"/>
      <c r="I152" s="468"/>
      <c r="J152" s="468"/>
      <c r="K152" s="468"/>
    </row>
    <row r="153" spans="3:11" s="10" customFormat="1" ht="22.2" customHeight="1" thickBot="1">
      <c r="C153" s="455" t="s">
        <v>561</v>
      </c>
      <c r="D153" s="225" t="s">
        <v>382</v>
      </c>
      <c r="E153" s="42"/>
      <c r="F153" s="468"/>
      <c r="G153" s="468"/>
      <c r="H153" s="468"/>
      <c r="I153" s="468"/>
      <c r="J153" s="468"/>
      <c r="K153" s="468"/>
    </row>
    <row r="154" spans="3:11" ht="20.100000000000001" customHeight="1" thickTop="1" thickBot="1">
      <c r="E154" s="37"/>
      <c r="F154" s="407"/>
      <c r="G154" s="407"/>
      <c r="H154" s="407"/>
      <c r="I154" s="407"/>
      <c r="J154" s="407"/>
      <c r="K154" s="407"/>
    </row>
    <row r="155" spans="3:11" ht="33" customHeight="1" thickTop="1" thickBot="1">
      <c r="C155" s="448" t="s">
        <v>562</v>
      </c>
      <c r="D155" s="449"/>
      <c r="E155" s="37"/>
      <c r="F155" s="407"/>
      <c r="G155" s="407"/>
      <c r="H155" s="407"/>
      <c r="I155" s="407"/>
      <c r="J155" s="407"/>
      <c r="K155" s="407"/>
    </row>
    <row r="156" spans="3:11" ht="10.050000000000001" customHeight="1" thickTop="1">
      <c r="C156" s="453"/>
      <c r="D156" s="421"/>
      <c r="E156" s="37"/>
      <c r="F156" s="407"/>
      <c r="G156" s="407"/>
      <c r="H156" s="407"/>
      <c r="I156" s="407"/>
      <c r="J156" s="407"/>
      <c r="K156" s="407"/>
    </row>
    <row r="157" spans="3:11" ht="34.200000000000003" customHeight="1">
      <c r="C157" s="555" t="s">
        <v>563</v>
      </c>
      <c r="D157" s="556"/>
      <c r="E157" s="37"/>
      <c r="F157" s="407"/>
      <c r="G157" s="407"/>
      <c r="H157" s="407"/>
      <c r="I157" s="407"/>
      <c r="J157" s="407"/>
      <c r="K157" s="407"/>
    </row>
    <row r="158" spans="3:11" s="44" customFormat="1" ht="10.050000000000001" customHeight="1" thickBot="1">
      <c r="C158" s="456"/>
      <c r="D158" s="457"/>
      <c r="E158" s="43"/>
      <c r="F158" s="469"/>
      <c r="G158" s="469"/>
      <c r="H158" s="469"/>
      <c r="I158" s="469"/>
      <c r="J158" s="469"/>
      <c r="K158" s="469"/>
    </row>
    <row r="159" spans="3:11" ht="20.100000000000001" customHeight="1">
      <c r="C159" s="458" t="s">
        <v>564</v>
      </c>
      <c r="D159" s="224" t="s">
        <v>382</v>
      </c>
      <c r="E159" s="37"/>
      <c r="F159" s="407"/>
      <c r="G159" s="407"/>
      <c r="H159" s="407"/>
      <c r="I159" s="407"/>
      <c r="J159" s="407"/>
      <c r="K159" s="407"/>
    </row>
    <row r="160" spans="3:11" ht="20.100000000000001" customHeight="1" thickBot="1">
      <c r="C160" s="459" t="s">
        <v>565</v>
      </c>
      <c r="D160" s="327" t="s">
        <v>382</v>
      </c>
      <c r="E160" s="37"/>
      <c r="F160" s="407"/>
      <c r="G160" s="407"/>
      <c r="H160" s="407"/>
      <c r="I160" s="407"/>
      <c r="J160" s="407"/>
      <c r="K160" s="407"/>
    </row>
    <row r="161" spans="3:11" ht="30" customHeight="1" thickTop="1">
      <c r="C161" s="499" t="str">
        <f>IF(D160="Yes","In the adjacent box (on the right), please list the EU countries where you provide services, and on the next row, indicate the address of your offices in those countries.", "")</f>
        <v/>
      </c>
      <c r="D161" s="467"/>
      <c r="E161" s="37"/>
      <c r="F161" s="407"/>
      <c r="G161" s="407"/>
      <c r="H161" s="407"/>
      <c r="I161" s="407"/>
      <c r="J161" s="407"/>
      <c r="K161" s="407"/>
    </row>
    <row r="162" spans="3:11" ht="30" customHeight="1">
      <c r="C162" s="574"/>
      <c r="D162" s="575"/>
      <c r="E162" s="37"/>
      <c r="F162" s="407"/>
      <c r="G162" s="407"/>
      <c r="H162" s="407"/>
      <c r="I162" s="407"/>
      <c r="J162" s="407"/>
      <c r="K162" s="407"/>
    </row>
    <row r="163" spans="3:11" ht="61.35" customHeight="1" thickBot="1">
      <c r="C163" s="498" t="str">
        <f xml:space="preserve"> IF(COUNTIF(D159:D160,Liste!$B$4)+COUNTIF(D159:D160,Liste!$B$5)&lt;2, "Please answer all questions to receive your preliminary assessment!", "")</f>
        <v>Please answer all questions to receive your preliminary assessment!</v>
      </c>
      <c r="D163" s="498"/>
      <c r="E163" s="37"/>
      <c r="F163" s="407"/>
      <c r="G163" s="407"/>
      <c r="H163" s="407"/>
      <c r="I163" s="407"/>
      <c r="J163" s="407"/>
      <c r="K163" s="407"/>
    </row>
    <row r="164" spans="3:11" ht="20.100000000000001" customHeight="1" thickTop="1" thickBot="1">
      <c r="D164" s="10"/>
      <c r="E164" s="37"/>
      <c r="F164" s="407"/>
      <c r="G164" s="407"/>
      <c r="H164" s="407"/>
      <c r="I164" s="407"/>
      <c r="J164" s="407"/>
      <c r="K164" s="407"/>
    </row>
    <row r="165" spans="3:11" ht="30" customHeight="1">
      <c r="C165" s="549" t="str">
        <f>IF(D143&gt;5,"Atenție! Nu puteți selecta mai mult de 5 servicii! În cazul în care furnizați mai multe, refaceți evaluarea pe subgrupuri de cel mult 5 servicii.","")</f>
        <v/>
      </c>
      <c r="D165" s="550"/>
      <c r="E165" s="37"/>
      <c r="F165" s="407"/>
      <c r="G165" s="407"/>
      <c r="H165" s="407"/>
      <c r="I165" s="407"/>
      <c r="J165" s="407"/>
      <c r="K165" s="407"/>
    </row>
    <row r="166" spans="3:11" ht="40.049999999999997" customHeight="1" thickBot="1">
      <c r="C166" s="570" t="str">
        <f>IF(AND(OR('Algoritm clasificare'!C7=1, 'Algoritm clasificare'!C8=1, 'Algoritm clasificare'!C9=1, 'Algoritm clasificare'!C11=1, 'Algoritm clasificare'!C12=1), 'Entity assessment'!D21="Small and micro", 'Algoritm clasificare'!M2=0, 'Algoritm clasificare'!L2=0),
   "Perform the impact assessment in accordance with DNSC Director's Order No. 2/2025.",
   "According to the data entered, it is not necessary to complete the section APPLICATION OF ART. 9 IN ACCORDANCE WITH ART. 10 PAR. (2) OF OUG NO. 155/2024")</f>
        <v>According to the data entered, it is not necessary to complete the section APPLICATION OF ART. 9 IN ACCORDANCE WITH ART. 10 PAR. (2) OF OUG NO. 155/2024</v>
      </c>
      <c r="D166" s="571"/>
      <c r="E166" s="282">
        <f>IF(C166="Conform datelor introduse nu este necesară completarea secțiunii AUTOEVALUAREA APLICĂRII ART. 9 DIN OUG NR. 155/2024",1,0)</f>
        <v>0</v>
      </c>
      <c r="F166" s="407"/>
      <c r="G166" s="407"/>
      <c r="H166" s="407"/>
      <c r="I166" s="407"/>
      <c r="J166" s="407"/>
      <c r="K166" s="407"/>
    </row>
    <row r="167" spans="3:11" ht="33" customHeight="1" thickTop="1" thickBot="1">
      <c r="C167" s="448" t="s">
        <v>613</v>
      </c>
      <c r="D167" s="449"/>
      <c r="E167" s="37"/>
      <c r="F167" s="407"/>
      <c r="G167" s="407"/>
      <c r="H167" s="407"/>
      <c r="I167" s="407"/>
      <c r="J167" s="407"/>
      <c r="K167" s="407"/>
    </row>
    <row r="168" spans="3:11" s="10" customFormat="1" ht="60" customHeight="1" thickTop="1">
      <c r="C168" s="547" t="s">
        <v>566</v>
      </c>
      <c r="D168" s="548"/>
      <c r="E168" s="40"/>
      <c r="F168" s="468"/>
      <c r="G168" s="468"/>
      <c r="H168" s="468"/>
      <c r="I168" s="468"/>
      <c r="J168" s="468"/>
      <c r="K168" s="468"/>
    </row>
    <row r="169" spans="3:11" s="10" customFormat="1" ht="30" customHeight="1">
      <c r="C169" s="450" t="s">
        <v>567</v>
      </c>
      <c r="D169" s="326" t="s">
        <v>382</v>
      </c>
      <c r="E169" s="40"/>
      <c r="F169" s="468"/>
      <c r="G169" s="468"/>
      <c r="H169" s="468"/>
      <c r="I169" s="468"/>
      <c r="J169" s="468"/>
      <c r="K169" s="468"/>
    </row>
    <row r="170" spans="3:11" s="10" customFormat="1" ht="30" customHeight="1">
      <c r="C170" s="451" t="s">
        <v>568</v>
      </c>
      <c r="D170" s="233" t="s">
        <v>382</v>
      </c>
      <c r="E170" s="40"/>
      <c r="F170" s="468"/>
      <c r="G170" s="468"/>
      <c r="H170" s="468"/>
      <c r="I170" s="468"/>
      <c r="J170" s="468"/>
      <c r="K170" s="468"/>
    </row>
    <row r="171" spans="3:11" s="10" customFormat="1" ht="30" customHeight="1">
      <c r="C171" s="451" t="s">
        <v>569</v>
      </c>
      <c r="D171" s="233" t="s">
        <v>382</v>
      </c>
      <c r="E171" s="40"/>
      <c r="F171" s="468"/>
      <c r="G171" s="468"/>
      <c r="H171" s="468"/>
      <c r="I171" s="468"/>
      <c r="J171" s="468"/>
      <c r="K171" s="468"/>
    </row>
    <row r="172" spans="3:11" s="10" customFormat="1" ht="30" customHeight="1" thickBot="1">
      <c r="C172" s="452" t="s">
        <v>570</v>
      </c>
      <c r="D172" s="234" t="s">
        <v>382</v>
      </c>
      <c r="E172" s="41">
        <f>COUNTIF(D169:D172,"")</f>
        <v>0</v>
      </c>
      <c r="F172" s="468"/>
      <c r="G172" s="468"/>
      <c r="H172" s="468"/>
      <c r="I172" s="468"/>
      <c r="J172" s="468"/>
      <c r="K172" s="468"/>
    </row>
    <row r="173" spans="3:11" ht="10.050000000000001" customHeight="1" thickTop="1" thickBot="1">
      <c r="C173" s="453"/>
      <c r="D173" s="421"/>
      <c r="E173" s="37"/>
      <c r="F173" s="407"/>
      <c r="G173" s="407"/>
      <c r="H173" s="407"/>
      <c r="I173" s="407"/>
      <c r="J173" s="407"/>
      <c r="K173" s="407"/>
    </row>
    <row r="174" spans="3:11" ht="33" customHeight="1" thickTop="1" thickBot="1">
      <c r="C174" s="448" t="s">
        <v>343</v>
      </c>
      <c r="D174" s="460"/>
      <c r="E174" s="37"/>
      <c r="F174" s="407"/>
      <c r="G174" s="407"/>
      <c r="H174" s="407"/>
      <c r="I174" s="407"/>
      <c r="J174" s="407"/>
      <c r="K174" s="407"/>
    </row>
    <row r="175" spans="3:11" s="10" customFormat="1" ht="20.100000000000001" customHeight="1" thickTop="1" thickBot="1">
      <c r="C175" s="453"/>
      <c r="D175" s="421"/>
      <c r="E175" s="40"/>
      <c r="F175" s="468"/>
      <c r="G175" s="468"/>
      <c r="H175" s="468"/>
      <c r="I175" s="468"/>
      <c r="J175" s="468"/>
      <c r="K175" s="468"/>
    </row>
    <row r="176" spans="3:11" s="10" customFormat="1" ht="43.35" customHeight="1" thickTop="1" thickBot="1">
      <c r="C176" s="461" t="s">
        <v>571</v>
      </c>
      <c r="D176" s="462" t="str">
        <f>IF(OR('Algoritm clasificare'!E18=1,'Algoritm clasificare'!F18=1,'Algoritm clasificare'!G18=1,'Algoritm clasificare'!H18=1,'Algoritm clasificare'!I18=1, D160="Select", D159="Select"),
Liste!G9,
IF(OR('Algoritm clasificare'!M2=1,'Algoritm clasificare'!M14=1,'Algoritm clasificare'!M15=1,'Algoritm clasificare'!M16=1),
Liste!G6,
IF(OR('Algoritm clasificare'!L2=1,'Algoritm clasificare'!L14=1,'Algoritm clasificare'!L15=1,'Algoritm clasificare'!L16=1),
Liste!G5,
Liste!G4
)
))</f>
        <v>The data entered is insufficient to generate a preliminary assessment.</v>
      </c>
      <c r="E176" s="40"/>
      <c r="F176" s="470"/>
      <c r="G176" s="468"/>
      <c r="H176" s="468"/>
      <c r="I176" s="468"/>
      <c r="J176" s="468"/>
      <c r="K176" s="468"/>
    </row>
    <row r="177" spans="2:11" s="10" customFormat="1" ht="60" customHeight="1" thickTop="1" thickBot="1">
      <c r="C177" s="557" t="s">
        <v>572</v>
      </c>
      <c r="D177" s="558"/>
      <c r="E177" s="40"/>
      <c r="F177" s="468"/>
      <c r="G177" s="468"/>
      <c r="H177" s="468"/>
      <c r="I177" s="468"/>
      <c r="J177" s="468"/>
      <c r="K177" s="468"/>
    </row>
    <row r="178" spans="2:11" ht="20.100000000000001" customHeight="1" thickTop="1" thickBot="1">
      <c r="E178" s="37"/>
      <c r="F178" s="407"/>
      <c r="G178" s="407"/>
      <c r="H178" s="407"/>
      <c r="I178" s="407"/>
      <c r="J178" s="407"/>
      <c r="K178" s="407"/>
    </row>
    <row r="179" spans="2:11" ht="33" customHeight="1" thickTop="1" thickBot="1">
      <c r="C179" s="448" t="s">
        <v>573</v>
      </c>
      <c r="D179" s="460"/>
      <c r="E179" s="37"/>
      <c r="F179" s="407"/>
      <c r="G179" s="407"/>
      <c r="H179" s="407"/>
      <c r="I179" s="407"/>
      <c r="J179" s="407"/>
      <c r="K179" s="407"/>
    </row>
    <row r="180" spans="2:11" s="10" customFormat="1" ht="40.049999999999997" customHeight="1" thickTop="1" thickBot="1">
      <c r="C180" s="561" t="s">
        <v>574</v>
      </c>
      <c r="D180" s="562"/>
      <c r="E180" s="42"/>
      <c r="F180" s="470"/>
      <c r="G180" s="468"/>
      <c r="H180" s="468"/>
      <c r="I180" s="468"/>
      <c r="J180" s="468"/>
      <c r="K180" s="468"/>
    </row>
    <row r="181" spans="2:11" s="10" customFormat="1" ht="20.100000000000001" customHeight="1" thickTop="1">
      <c r="C181" s="463"/>
      <c r="D181" s="463"/>
      <c r="E181" s="40"/>
      <c r="F181" s="468"/>
      <c r="G181" s="468"/>
      <c r="H181" s="468"/>
      <c r="I181" s="468"/>
      <c r="J181" s="468"/>
      <c r="K181" s="468"/>
    </row>
    <row r="182" spans="2:11" ht="20.100000000000001" customHeight="1" thickBot="1">
      <c r="E182" s="37"/>
      <c r="F182" s="407"/>
      <c r="G182" s="407"/>
      <c r="H182" s="407"/>
      <c r="I182" s="407"/>
      <c r="J182" s="407"/>
      <c r="K182" s="407"/>
    </row>
    <row r="183" spans="2:11" ht="33" customHeight="1" thickTop="1" thickBot="1">
      <c r="C183" s="448" t="s">
        <v>575</v>
      </c>
      <c r="D183" s="464"/>
      <c r="E183" s="37"/>
      <c r="F183" s="407"/>
      <c r="G183" s="407"/>
      <c r="H183" s="407"/>
      <c r="I183" s="407"/>
      <c r="J183" s="407"/>
      <c r="K183" s="407"/>
    </row>
    <row r="184" spans="2:11" ht="15" customHeight="1" thickTop="1">
      <c r="C184" s="465"/>
      <c r="D184" s="466"/>
      <c r="E184" s="37"/>
      <c r="F184" s="407"/>
      <c r="G184" s="407"/>
      <c r="H184" s="407"/>
      <c r="I184" s="407"/>
      <c r="J184" s="407"/>
      <c r="K184" s="407"/>
    </row>
    <row r="185" spans="2:11" ht="159" customHeight="1">
      <c r="C185" s="559" t="s">
        <v>576</v>
      </c>
      <c r="D185" s="560"/>
      <c r="E185" s="37"/>
      <c r="F185" s="407"/>
      <c r="G185" s="407"/>
      <c r="H185" s="407"/>
      <c r="I185" s="407"/>
      <c r="J185" s="407"/>
      <c r="K185" s="407"/>
    </row>
    <row r="186" spans="2:11" ht="115.8" customHeight="1">
      <c r="C186" s="553" t="s">
        <v>577</v>
      </c>
      <c r="D186" s="554"/>
      <c r="E186" s="37"/>
      <c r="F186" s="407"/>
      <c r="G186" s="407"/>
      <c r="H186" s="407"/>
      <c r="I186" s="407"/>
      <c r="J186" s="407"/>
      <c r="K186" s="407"/>
    </row>
    <row r="187" spans="2:11" ht="15" customHeight="1">
      <c r="B187" s="45"/>
      <c r="C187" s="45"/>
      <c r="D187" s="45"/>
      <c r="E187" s="46"/>
      <c r="F187" s="407"/>
      <c r="G187" s="407"/>
      <c r="H187" s="407"/>
      <c r="I187" s="407"/>
      <c r="J187" s="407"/>
      <c r="K187" s="407"/>
    </row>
    <row r="188" spans="2:11" s="47" customFormat="1" ht="20.100000000000001" customHeight="1">
      <c r="C188" s="48"/>
      <c r="E188" s="49"/>
    </row>
    <row r="189" spans="2:11" s="47" customFormat="1" ht="20.100000000000001" customHeight="1">
      <c r="E189" s="49"/>
    </row>
    <row r="190" spans="2:11" s="47" customFormat="1" ht="20.100000000000001" customHeight="1">
      <c r="E190" s="49"/>
    </row>
    <row r="191" spans="2:11" s="47" customFormat="1" ht="20.100000000000001" customHeight="1">
      <c r="E191" s="49"/>
    </row>
    <row r="192" spans="2:11" s="47" customFormat="1" ht="20.100000000000001" customHeight="1">
      <c r="E192" s="49"/>
    </row>
    <row r="193" spans="5:5" s="47" customFormat="1" ht="20.100000000000001" customHeight="1">
      <c r="E193" s="49"/>
    </row>
    <row r="194" spans="5:5" s="47" customFormat="1" ht="20.100000000000001" customHeight="1">
      <c r="E194" s="49"/>
    </row>
    <row r="195" spans="5:5" s="47" customFormat="1" ht="20.100000000000001" customHeight="1">
      <c r="E195" s="49"/>
    </row>
    <row r="196" spans="5:5" s="47" customFormat="1" ht="20.100000000000001" customHeight="1">
      <c r="E196" s="49"/>
    </row>
    <row r="197" spans="5:5" s="47" customFormat="1" ht="20.100000000000001" customHeight="1">
      <c r="E197" s="49"/>
    </row>
    <row r="198" spans="5:5" s="47" customFormat="1" ht="20.100000000000001" customHeight="1">
      <c r="E198" s="49"/>
    </row>
    <row r="199" spans="5:5" s="47" customFormat="1" ht="20.100000000000001" customHeight="1">
      <c r="E199" s="49"/>
    </row>
    <row r="200" spans="5:5" s="47" customFormat="1" ht="20.100000000000001" customHeight="1">
      <c r="E200" s="49"/>
    </row>
    <row r="201" spans="5:5" s="47" customFormat="1" ht="20.100000000000001" customHeight="1">
      <c r="E201" s="49"/>
    </row>
    <row r="202" spans="5:5" s="47" customFormat="1" ht="20.100000000000001" customHeight="1">
      <c r="E202" s="49"/>
    </row>
    <row r="203" spans="5:5" s="47" customFormat="1" ht="20.100000000000001" customHeight="1">
      <c r="E203" s="49"/>
    </row>
    <row r="204" spans="5:5" s="47" customFormat="1" ht="20.100000000000001" customHeight="1">
      <c r="E204" s="49"/>
    </row>
    <row r="205" spans="5:5" s="47" customFormat="1" ht="20.100000000000001" customHeight="1">
      <c r="E205" s="49"/>
    </row>
    <row r="206" spans="5:5" s="47" customFormat="1" ht="20.100000000000001" customHeight="1">
      <c r="E206" s="49"/>
    </row>
    <row r="207" spans="5:5" s="47" customFormat="1" ht="20.100000000000001" customHeight="1">
      <c r="E207" s="49"/>
    </row>
  </sheetData>
  <sheetProtection algorithmName="SHA-512" hashValue="g3ZrMPERMhwFVV1boQ+0ZuEAWaUNY/bQjnxKV7fc6vIURr6CT2JmcS+CL2X3y2U9WE33gJNHfBRRwM+gRUUfgw==" saltValue="FoS8Ed06Hs1mOJOSczVh4Q==" spinCount="100000" sheet="1" insertHyperlinks="0" selectLockedCells="1"/>
  <protectedRanges>
    <protectedRange sqref="B1:E11 B17:C21 B22:D30 B31:C143 B167:D168 B169:C173 D173 B146:D149 B156:D158 B164:D164 B150:C155 B181:E187 B174:D179 B144:D145 B165:D166 B159:B163 C159:C161 C163" name="Range1"/>
  </protectedRanges>
  <mergeCells count="25">
    <mergeCell ref="C5:C7"/>
    <mergeCell ref="D5:D7"/>
    <mergeCell ref="C4:D4"/>
    <mergeCell ref="C16:D16"/>
    <mergeCell ref="C12:D12"/>
    <mergeCell ref="C13:D13"/>
    <mergeCell ref="C14:D14"/>
    <mergeCell ref="C15:D15"/>
    <mergeCell ref="C10:D10"/>
    <mergeCell ref="C11:D11"/>
    <mergeCell ref="C26:D26"/>
    <mergeCell ref="C149:D149"/>
    <mergeCell ref="C147:D147"/>
    <mergeCell ref="C166:D166"/>
    <mergeCell ref="C22:D22"/>
    <mergeCell ref="C162:D162"/>
    <mergeCell ref="C168:D168"/>
    <mergeCell ref="C165:D165"/>
    <mergeCell ref="C146:D146"/>
    <mergeCell ref="C186:D186"/>
    <mergeCell ref="C157:D157"/>
    <mergeCell ref="C177:D177"/>
    <mergeCell ref="C185:D185"/>
    <mergeCell ref="C180:D180"/>
    <mergeCell ref="C148:D148"/>
  </mergeCells>
  <conditionalFormatting sqref="C161:C162">
    <cfRule type="containsText" dxfId="34" priority="24" operator="containsText" text="In the adjacent box (on the right), please list the EU countries where you provide services, and on the next row, indicate the address of your offices in those countries.">
      <formula>NOT(ISERROR(SEARCH("In the adjacent box (on the right), please list the EU countries where you provide services, and on the next row, indicate the address of your offices in those countries.",C161)))</formula>
    </cfRule>
  </conditionalFormatting>
  <conditionalFormatting sqref="C163:D163">
    <cfRule type="containsText" dxfId="32" priority="23" operator="containsText" text="Please answer all questions to receive your preliminary assessment!">
      <formula>NOT(ISERROR(SEARCH("Please answer all questions to receive your preliminary assessment!",C163)))</formula>
    </cfRule>
  </conditionalFormatting>
  <conditionalFormatting sqref="C165:D165">
    <cfRule type="containsText" dxfId="31" priority="30" operator="containsText" text="Atenție! Nu puteți selecta mai mult de 5 servicii! În cazul în care furnizați mai multe, refaceți evaluarea pe subgrupuri de cel mult 5 servicii.">
      <formula>NOT(ISERROR(SEARCH("Atenție! Nu puteți selecta mai mult de 5 servicii! În cazul în care furnizați mai multe, refaceți evaluarea pe subgrupuri de cel mult 5 servicii.",C165)))</formula>
    </cfRule>
  </conditionalFormatting>
  <conditionalFormatting sqref="C166:D166">
    <cfRule type="containsText" dxfId="30" priority="28" operator="containsText" text="Perform the impact assessment in accordance with DNSC Director's Order No. 2/2025.">
      <formula>NOT(ISERROR(SEARCH("Perform the impact assessment in accordance with DNSC Director's Order No. 2/2025.",C166)))</formula>
    </cfRule>
  </conditionalFormatting>
  <conditionalFormatting sqref="C168:D172">
    <cfRule type="expression" dxfId="29" priority="1">
      <formula>$C$166="According to the data entered, it is not necessary to complete the section APPLICATION OF ART. 9 IN ACCORDANCE WITH ART. 10 PAR. (2) OF OUG NO. 155/2024"</formula>
    </cfRule>
  </conditionalFormatting>
  <conditionalFormatting sqref="D21">
    <cfRule type="containsText" dxfId="28" priority="16" operator="containsText" text="Select">
      <formula>NOT(ISERROR(SEARCH("Select",D21)))</formula>
    </cfRule>
  </conditionalFormatting>
  <conditionalFormatting sqref="D31:D38 D40 D42:D44 D46:D52 D54 D97:D106">
    <cfRule type="containsText" dxfId="27" priority="58" operator="containsText" text="Yes">
      <formula>NOT(ISERROR(SEARCH("Yes",D31)))</formula>
    </cfRule>
  </conditionalFormatting>
  <conditionalFormatting sqref="D56">
    <cfRule type="containsText" dxfId="26" priority="55" operator="containsText" text="Yes">
      <formula>NOT(ISERROR(SEARCH("Yes",D56)))</formula>
    </cfRule>
  </conditionalFormatting>
  <conditionalFormatting sqref="D59:D65 D67:D68 D70:D72 D74:D75 D77">
    <cfRule type="containsText" dxfId="25" priority="57" operator="containsText" text="Yes">
      <formula>NOT(ISERROR(SEARCH("Yes",D59)))</formula>
    </cfRule>
  </conditionalFormatting>
  <conditionalFormatting sqref="D79 D81:D83">
    <cfRule type="containsText" dxfId="24" priority="54" operator="containsText" text="Yes">
      <formula>NOT(ISERROR(SEARCH("Yes",D79)))</formula>
    </cfRule>
  </conditionalFormatting>
  <conditionalFormatting sqref="D85:D91">
    <cfRule type="containsText" dxfId="23" priority="53" operator="containsText" text="Yes">
      <formula>NOT(ISERROR(SEARCH("Yes",D85)))</formula>
    </cfRule>
  </conditionalFormatting>
  <conditionalFormatting sqref="D93 D95">
    <cfRule type="containsText" dxfId="22" priority="52" operator="containsText" text="Yes">
      <formula>NOT(ISERROR(SEARCH("Yes",D93)))</formula>
    </cfRule>
  </conditionalFormatting>
  <conditionalFormatting sqref="D108:D109">
    <cfRule type="containsText" dxfId="21" priority="51" operator="containsText" text="Yes">
      <formula>NOT(ISERROR(SEARCH("Yes",D108)))</formula>
    </cfRule>
  </conditionalFormatting>
  <conditionalFormatting sqref="D111 D113 D116 D118 D120 D122 D125 D127 D129 D131 D133 D135 D137:D139 D141">
    <cfRule type="containsText" dxfId="20" priority="75" operator="containsText" text="Yes">
      <formula>NOT(ISERROR(SEARCH("Yes",D111)))</formula>
    </cfRule>
  </conditionalFormatting>
  <conditionalFormatting sqref="D142">
    <cfRule type="expression" dxfId="19" priority="6">
      <formula>$D$143=0</formula>
    </cfRule>
  </conditionalFormatting>
  <conditionalFormatting sqref="D153">
    <cfRule type="containsText" dxfId="15" priority="2" operator="containsText" text="Select">
      <formula>NOT(ISERROR(SEARCH("Select",D153)))</formula>
    </cfRule>
  </conditionalFormatting>
  <conditionalFormatting sqref="D159:D160">
    <cfRule type="containsText" dxfId="14" priority="3" operator="containsText" text="Select">
      <formula>NOT(ISERROR(SEARCH("Select",D159)))</formula>
    </cfRule>
  </conditionalFormatting>
  <conditionalFormatting sqref="D169:D172">
    <cfRule type="expression" dxfId="13" priority="97">
      <formula>AND(D169="Select", $C$166="Perform the impact assessment in accordance with DNSC Director's Order No. 2/2025.")</formula>
    </cfRule>
  </conditionalFormatting>
  <conditionalFormatting sqref="D176">
    <cfRule type="cellIs" dxfId="11" priority="59" operator="equal">
      <formula>"Out of scope"</formula>
    </cfRule>
    <cfRule type="cellIs" dxfId="10" priority="60" operator="equal">
      <formula>"Important entity"</formula>
    </cfRule>
    <cfRule type="cellIs" dxfId="9" priority="61" operator="equal">
      <formula>"Essential entity"</formula>
    </cfRule>
  </conditionalFormatting>
  <dataValidations count="2">
    <dataValidation errorStyle="information" allowBlank="1" showInputMessage="1" showErrorMessage="1" promptTitle="Other EU countries" prompt="Please enter the names of the countries where you provide services." sqref="D161" xr:uid="{6EF4A123-7F5E-4B84-8817-88B0461A9047}"/>
    <dataValidation allowBlank="1" showInputMessage="1" showErrorMessage="1" promptTitle="Office addresses" prompt="Please enter the addresses of your offices in other EU countries." sqref="C162" xr:uid="{75096D8D-C623-4FE4-A64F-AE2C6996C43F}"/>
  </dataValidations>
  <hyperlinks>
    <hyperlink ref="D5" r:id="rId1" display="https://legislatie.just.ro/Public/DetaliiDocument/209670 " xr:uid="{DC85FE6B-D9E5-416A-99F8-AECD32735022}"/>
    <hyperlink ref="C13" r:id="rId2" display="Link to Commission Recommandation 2003/361/EC" xr:uid="{5150DE50-D5FD-48A7-BA49-6ACB20AC77A3}"/>
    <hyperlink ref="C14" r:id="rId3" display="Link to the &quot;User guide on the SME definition&quot; from the European Commission" xr:uid="{B5C4BD96-14E5-4E86-9A61-B209B1943CE1}"/>
    <hyperlink ref="C15" r:id="rId4" display="Link to the SME self-assessment tool by the European Commission" xr:uid="{BA303DA0-924A-4ABB-AFBF-747CCCFDBC70}"/>
    <hyperlink ref="C13:D13" r:id="rId5" tooltip="Legea nr. 346/2004" display="Link către Legea nr. 346 din 14 iulie 2004 privind stimularea înființării și dezvoltării întreprinderilor mici și mijlocii." xr:uid="{445625F4-FC0C-4F97-B63B-B4E2C246894D}"/>
    <hyperlink ref="D5" r:id="rId6" display="Mai multe informații despre OUG nr. 155/2024 (Legea NIS2) pot fi găsite aici" xr:uid="{038854ED-2539-4A05-8C6B-7AFD063CA9D7}"/>
    <hyperlink ref="C14:D14" r:id="rId7" tooltip="Ghidul IMM (de la CE)" display="Link către „Ghidul utilizatorului privind definiția IMM-urilor” de la Comisia Europeană." xr:uid="{4C1028C3-CEFC-4F1F-AA0C-667B51803715}"/>
    <hyperlink ref="C15:D15" r:id="rId8" tooltip="Instrument autoevaluare IMM (CE)" display="Link către instrumentul de autoevaluare a IMM-urilor de la Comisia Europeană." xr:uid="{7B7E1C13-DD7B-4390-A8E0-196E76EB5F11}"/>
    <hyperlink ref="C180" location="'Formular notificare'!A1" tooltip="Spre ... formularul de notificare (OUG nr. 155/2024)" display="Formular notificare" xr:uid="{1345DBDC-05EC-4BE1-A116-B543858AED3D}"/>
    <hyperlink ref="D5:D7" r:id="rId9" tooltip="Spre ... OUG nr. 155/2024" display="Mai multe informații despre OUG nr. 155/2024 (NIS2) pot fi găsite aici" xr:uid="{16977341-108D-42E4-A08C-64CAD4EA303D}"/>
  </hyperlinks>
  <pageMargins left="0.7" right="0.7" top="0.75" bottom="0.75" header="0.3" footer="0.3"/>
  <pageSetup scale="47" orientation="portrait" r:id="rId10"/>
  <rowBreaks count="1" manualBreakCount="1">
    <brk id="162" max="16383" man="1"/>
  </rowBreaks>
  <drawing r:id="rId11"/>
  <legacyDrawing r:id="rId12"/>
  <extLst>
    <ext xmlns:x14="http://schemas.microsoft.com/office/spreadsheetml/2009/9/main" uri="{78C0D931-6437-407d-A8EE-F0AAD7539E65}">
      <x14:conditionalFormattings>
        <x14:conditionalFormatting xmlns:xm="http://schemas.microsoft.com/office/excel/2006/main">
          <x14:cfRule type="containsText" priority="26" operator="containsText" id="{F47C58B5-7C0C-4B1F-9005-A14A5E717EDD}">
            <xm:f>NOT(ISERROR(SEARCH(Liste!$F$6,C22)))</xm:f>
            <xm:f>Liste!$F$6</xm:f>
            <x14:dxf>
              <font>
                <b/>
                <i val="0"/>
                <color rgb="FFC00000"/>
              </font>
              <fill>
                <patternFill>
                  <bgColor rgb="FFFFD9D9"/>
                </patternFill>
              </fill>
            </x14:dxf>
          </x14:cfRule>
          <xm:sqref>C22:D22</xm:sqref>
        </x14:conditionalFormatting>
        <x14:conditionalFormatting xmlns:xm="http://schemas.microsoft.com/office/excel/2006/main">
          <x14:cfRule type="expression" priority="18" id="{00000000-000E-0000-0300-00000E000000}">
            <xm:f>AND('Algoritm clasificare'!E18=1, OR('Algoritm clasificare'!C2=1, 'Algoritm clasificare'!C3=1, 'Algoritm clasificare'!C4=1, 'Algoritm clasificare'!C5=1,  'Algoritm clasificare'!C7=1, 'Algoritm clasificare'!C8=1, 'Algoritm clasificare'!C9=1, 'Algoritm clasificare'!C11=1, 'Algoritm clasificare'!C12=1))</xm:f>
            <x14:dxf>
              <fill>
                <patternFill>
                  <bgColor rgb="FFFF0000"/>
                </patternFill>
              </fill>
            </x14:dxf>
          </x14:cfRule>
          <xm:sqref>D150</xm:sqref>
        </x14:conditionalFormatting>
        <x14:conditionalFormatting xmlns:xm="http://schemas.microsoft.com/office/excel/2006/main">
          <x14:cfRule type="expression" priority="4" id="{CFBC85A3-2C7D-4DE9-A539-AC9C142AA79C}">
            <xm:f>AND('Algoritm clasificare'!F18=1, OR('Algoritm clasificare'!C4=1, 'Algoritm clasificare'!C7=1, 'Algoritm clasificare'!C8=1, 'Algoritm clasificare'!C12=1))</xm:f>
            <x14:dxf>
              <fill>
                <patternFill>
                  <bgColor rgb="FFFF0000"/>
                </patternFill>
              </fill>
            </x14:dxf>
          </x14:cfRule>
          <xm:sqref>D151</xm:sqref>
        </x14:conditionalFormatting>
        <x14:conditionalFormatting xmlns:xm="http://schemas.microsoft.com/office/excel/2006/main">
          <x14:cfRule type="expression" priority="40" id="{00000000-000E-0000-0300-000024000000}">
            <xm:f>AND('Algoritm clasificare'!C2=1, 'Algoritm clasificare'!G18=1)</xm:f>
            <x14:dxf>
              <font>
                <b/>
                <i val="0"/>
              </font>
              <fill>
                <patternFill>
                  <bgColor rgb="FFFF0000"/>
                </patternFill>
              </fill>
            </x14:dxf>
          </x14:cfRule>
          <xm:sqref>D152</xm:sqref>
        </x14:conditionalFormatting>
        <x14:conditionalFormatting xmlns:xm="http://schemas.microsoft.com/office/excel/2006/main">
          <x14:cfRule type="expression" priority="20" id="{BDE02B3C-D42F-4B1A-8F34-4A43CD7419D2}">
            <xm:f>D176=Liste!G9</xm:f>
            <x14:dxf>
              <fill>
                <patternFill>
                  <bgColor rgb="FFFF0000"/>
                </patternFill>
              </fill>
            </x14:dxf>
          </x14:cfRule>
          <xm:sqref>D176</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4221A6DF-A4EE-4052-AA21-487CFE8639ED}">
          <x14:formula1>
            <xm:f>Liste!$B$4:$B$5</xm:f>
          </x14:formula1>
          <xm:sqref>D120 D59:D65 D40 D42:D44 D46:D52 D54 D31:D38 D67:D68 D70:D72 D56 D122 D131 D133 D125 D127 D129 D118 D81:D83 D108:D109 D113 D77 D79 D85:D91 D93 D95 D111 D116 D141:D142 D135 D137:D139 D74:D75 D97:D106</xm:sqref>
        </x14:dataValidation>
        <x14:dataValidation type="list" allowBlank="1" showInputMessage="1" showErrorMessage="1" xr:uid="{4C813E38-0B2C-46A5-9D2B-F5AFDF2743B1}">
          <x14:formula1>
            <xm:f>Liste!$B$3:$B$5</xm:f>
          </x14:formula1>
          <xm:sqref>D159:D160 D172 D169 D150:D153</xm:sqref>
        </x14:dataValidation>
        <x14:dataValidation type="list" allowBlank="1" showInputMessage="1" showErrorMessage="1" xr:uid="{8A4F8E32-4A20-4166-8FF3-192F36933DDA}">
          <x14:formula1>
            <xm:f>Liste!$C$14:$C$17</xm:f>
          </x14:formula1>
          <xm:sqref>D21</xm:sqref>
        </x14:dataValidation>
        <x14:dataValidation type="list" allowBlank="1" showInputMessage="1" showErrorMessage="1" xr:uid="{4DFDF4CC-5907-4453-A556-6DA7DAA7B7BC}">
          <x14:formula1>
            <xm:f>Liste!$AD$3:$AD$6</xm:f>
          </x14:formula1>
          <xm:sqref>D170:D171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0D378-F384-4321-AF34-41BC48B760E8}">
  <sheetPr codeName="Sheet1">
    <tabColor theme="8" tint="-0.249977111117893"/>
  </sheetPr>
  <dimension ref="C3:I135"/>
  <sheetViews>
    <sheetView showGridLines="0" tabSelected="1" topLeftCell="A41" zoomScale="130" zoomScaleNormal="130" zoomScaleSheetLayoutView="100" workbookViewId="0">
      <selection activeCell="G28" sqref="G28"/>
    </sheetView>
  </sheetViews>
  <sheetFormatPr defaultColWidth="8.5546875" defaultRowHeight="20.100000000000001" customHeight="1"/>
  <cols>
    <col min="1" max="1" width="1.6640625" style="8" customWidth="1"/>
    <col min="2" max="2" width="2.6640625" style="8" customWidth="1"/>
    <col min="3" max="3" width="86.5546875" style="8" customWidth="1"/>
    <col min="4" max="4" width="17.44140625" style="8" customWidth="1"/>
    <col min="5" max="5" width="2.6640625" style="8" customWidth="1"/>
    <col min="6" max="6" width="11.5546875" style="8" customWidth="1"/>
    <col min="7" max="16384" width="8.5546875" style="8"/>
  </cols>
  <sheetData>
    <row r="3" spans="3:4" ht="40.049999999999997" customHeight="1">
      <c r="C3" s="594" t="s">
        <v>578</v>
      </c>
      <c r="D3" s="594"/>
    </row>
    <row r="4" spans="3:4" ht="20.100000000000001" customHeight="1">
      <c r="C4" s="50"/>
      <c r="D4" s="51"/>
    </row>
    <row r="5" spans="3:4" ht="20.100000000000001" customHeight="1">
      <c r="C5" s="52"/>
      <c r="D5" s="52"/>
    </row>
    <row r="6" spans="3:4" ht="20.25" customHeight="1">
      <c r="C6" s="283" t="s">
        <v>360</v>
      </c>
      <c r="D6" s="284"/>
    </row>
    <row r="7" spans="3:4" ht="20.25" customHeight="1">
      <c r="C7" s="228" t="s">
        <v>579</v>
      </c>
      <c r="D7" s="230"/>
    </row>
    <row r="8" spans="3:4" ht="20.100000000000001" customHeight="1">
      <c r="C8" s="288" t="str">
        <f>'Entity data'!C12</f>
        <v>Name of the entity</v>
      </c>
      <c r="D8" s="288"/>
    </row>
    <row r="9" spans="3:4" ht="40.049999999999997" customHeight="1">
      <c r="C9" s="302" t="str">
        <f>IF('Entity data'!D12="","",'Entity data'!D12)</f>
        <v/>
      </c>
      <c r="D9" s="302"/>
    </row>
    <row r="10" spans="3:4" ht="20.100000000000001" customHeight="1">
      <c r="C10" s="288" t="str">
        <f>CONCATENATE('Entity data'!C13,": ",'Entity data'!D13)</f>
        <v xml:space="preserve">Unique Identification Code  (CUI): </v>
      </c>
      <c r="D10" s="288"/>
    </row>
    <row r="11" spans="3:4" ht="20.100000000000001" customHeight="1">
      <c r="C11" s="249" t="str">
        <f>CONCATENATE('Entity data'!C14,": ",'Entity data'!D14)</f>
        <v xml:space="preserve">National registration number: </v>
      </c>
      <c r="D11" s="249"/>
    </row>
    <row r="12" spans="3:4" ht="20.100000000000001" customHeight="1">
      <c r="C12" s="228" t="s">
        <v>365</v>
      </c>
      <c r="D12" s="229"/>
    </row>
    <row r="13" spans="3:4" ht="45.6" customHeight="1">
      <c r="C13" s="27" t="str">
        <f>"Headquarters address: " &amp;
IF('Entity data'!D16&lt;&gt;"", 'Entity data'!C16 &amp; ": " &amp; 'Entity data'!D16 &amp; "; ", "") &amp;
IF('Entity data'!D20&lt;&gt;"", 'Entity data'!D20 &amp; ", ", "") &amp;
IF('Entity data'!D21&lt;&gt;"", "no. " &amp; 'Entity data'!D21 &amp; ", ", "") &amp;
IF('Entity data'!D22&lt;&gt;"", "building: " &amp; 'Entity data'!D22 &amp; ", ", "") &amp;
IF('Entity data'!D23&lt;&gt;"", "entrance: " &amp; 'Entity data'!D23 &amp; ", ", "") &amp;
IF('Entity data'!D24&lt;&gt;"", "floor: " &amp; 'Entity data'!D24 &amp; ", ", "") &amp;
IF('Entity data'!D25&lt;&gt;"", "room: " &amp; 'Entity data'!D25 &amp; ", ", "") &amp;
IF('Entity data'!D18="Bucharest",
   IF(AND('Entity data'!C19&lt;&gt;"", 'Entity data'!D19&lt;&gt;""),
      'Entity data'!C19 &amp; " " &amp; 'Entity data'!D19 &amp; ", ",
      "") &amp; 'Entity data'!D18 &amp; ", ",
   IF('Entity data'!D18&lt;&gt;"", 'Entity data'!D18 &amp; ", ", "")) &amp;
IF(AND('Entity data'!D18&lt;&gt;"Bucharest", 'Entity data'!D17&lt;&gt;""),
   "County " &amp; 'Entity data'!D17,
   "")</f>
        <v xml:space="preserve">Headquarters address: </v>
      </c>
      <c r="D13" s="288"/>
    </row>
    <row r="14" spans="3:4" ht="19.2" customHeight="1">
      <c r="C14" s="27" t="str">
        <f>CONCATENATE('Entity data'!C26,": ",'Entity data'!D26)</f>
        <v xml:space="preserve">Postal code: </v>
      </c>
      <c r="D14" s="27"/>
    </row>
    <row r="15" spans="3:4" ht="20.100000000000001" customHeight="1">
      <c r="C15" s="288" t="str">
        <f>CONCATENATE("Email address: ",'Entity data'!D27)</f>
        <v xml:space="preserve">Email address: </v>
      </c>
      <c r="D15" s="288"/>
    </row>
    <row r="16" spans="3:4" ht="20.25" customHeight="1">
      <c r="C16" s="288" t="str">
        <f>CONCATENATE("Website URL: ",'Entity data'!D28)</f>
        <v xml:space="preserve">Website URL: </v>
      </c>
      <c r="D16" s="288"/>
    </row>
    <row r="17" spans="3:4" ht="20.100000000000001" customHeight="1">
      <c r="C17" s="288" t="str">
        <f>CONCATENATE("Telephone number: ",'Entity data'!D29)</f>
        <v xml:space="preserve">Telephone number: </v>
      </c>
      <c r="D17" s="288"/>
    </row>
    <row r="18" spans="3:4" ht="20.100000000000001" customHeight="1">
      <c r="C18" s="288" t="str">
        <f>CONCATENATE("Mobile phone number: ",'Entity data'!D30)</f>
        <v xml:space="preserve">Mobile phone number: </v>
      </c>
      <c r="D18" s="288"/>
    </row>
    <row r="19" spans="3:4" ht="20.100000000000001" customHeight="1">
      <c r="C19" s="228" t="s">
        <v>378</v>
      </c>
      <c r="D19" s="229"/>
    </row>
    <row r="20" spans="3:4" ht="20.100000000000001" customHeight="1">
      <c r="C20" s="288" t="str">
        <f>CONCATENATE("Main NACE code: ",'Entity data'!D32)</f>
        <v xml:space="preserve">Main NACE code: </v>
      </c>
      <c r="D20" s="288"/>
    </row>
    <row r="21" spans="3:4" ht="34.200000000000003" customHeight="1">
      <c r="C21" s="27" t="str">
        <f>CONCATENATE("Secondary NACE code/s: ",'Entity data'!D33)</f>
        <v xml:space="preserve">Secondary NACE code/s: </v>
      </c>
      <c r="D21" s="288"/>
    </row>
    <row r="22" spans="3:4" ht="10.050000000000001" customHeight="1"/>
    <row r="23" spans="3:4" ht="20.25" customHeight="1">
      <c r="C23" s="283" t="s">
        <v>380</v>
      </c>
      <c r="D23" s="285"/>
    </row>
    <row r="24" spans="3:4" ht="20.25" customHeight="1">
      <c r="C24" s="228" t="s">
        <v>587</v>
      </c>
      <c r="D24" s="229"/>
    </row>
    <row r="25" spans="3:4" ht="20.25" customHeight="1">
      <c r="C25" s="289" t="str">
        <f>'Entity assessment'!C17</f>
        <v>Average annual number of employees:</v>
      </c>
      <c r="D25" s="300" t="str">
        <f>IF('Entity assessment'!D17="","",'Entity assessment'!D17)</f>
        <v/>
      </c>
    </row>
    <row r="26" spans="3:4" ht="20.25" customHeight="1">
      <c r="C26" s="289" t="str">
        <f>'Entity assessment'!C18</f>
        <v>Annual turnover (EUR):</v>
      </c>
      <c r="D26" s="300" t="str">
        <f>IF('Entity assessment'!D18="","",'Entity assessment'!D18)</f>
        <v/>
      </c>
    </row>
    <row r="27" spans="3:4" s="10" customFormat="1" ht="20.25" customHeight="1">
      <c r="C27" s="289" t="str">
        <f>'Entity assessment'!C19</f>
        <v>Balance Sheet (EUR):</v>
      </c>
      <c r="D27" s="300" t="str">
        <f>IF('Entity assessment'!D19="","",'Entity assessment'!D19)</f>
        <v/>
      </c>
    </row>
    <row r="28" spans="3:4" ht="20.25" customHeight="1">
      <c r="C28" s="289" t="str">
        <f>'Entity assessment'!C21</f>
        <v>Size of the entity according to Law No. 346/2004 (except for Central Public Administration)</v>
      </c>
      <c r="D28" s="301" t="str">
        <f>IF('Entity assessment'!D20='Entity assessment'!D21, 'Entity assessment'!D21, 'Entity assessment'!D21 &amp; "  🔴")</f>
        <v>Select  🔴</v>
      </c>
    </row>
    <row r="29" spans="3:4" ht="10.050000000000001" customHeight="1"/>
    <row r="30" spans="3:4" ht="10.050000000000001" customHeight="1"/>
    <row r="31" spans="3:4" ht="20.25" customHeight="1">
      <c r="C31" s="228" t="s">
        <v>588</v>
      </c>
      <c r="D31" s="229"/>
    </row>
    <row r="32" spans="3:4" ht="20.25" customHeight="1">
      <c r="C32" s="286" t="s">
        <v>589</v>
      </c>
      <c r="D32" s="290" t="str">
        <f>IF(COUNTBLANK(C33:C37)=5,"",5-COUNTBLANK(C33:C37))</f>
        <v/>
      </c>
    </row>
    <row r="33" spans="3:9" ht="19.95" customHeight="1">
      <c r="C33" s="27" t="str" cm="1">
        <f t="array" ref="C33:D37">IF(ISBLANK(Ajutor!H2:I6),"",Ajutor!H2:I6)</f>
        <v/>
      </c>
      <c r="D33" s="400" t="str">
        <v/>
      </c>
    </row>
    <row r="34" spans="3:9" ht="19.95" customHeight="1">
      <c r="C34" s="27" t="str">
        <v/>
      </c>
      <c r="D34" s="400" t="str">
        <v/>
      </c>
    </row>
    <row r="35" spans="3:9" ht="19.95" customHeight="1">
      <c r="C35" s="27" t="str">
        <v/>
      </c>
      <c r="D35" s="400" t="str">
        <v/>
      </c>
    </row>
    <row r="36" spans="3:9" ht="19.95" customHeight="1">
      <c r="C36" s="27" t="str">
        <v/>
      </c>
      <c r="D36" s="400" t="str">
        <v/>
      </c>
    </row>
    <row r="37" spans="3:9" ht="19.95" customHeight="1">
      <c r="C37" s="27" t="str">
        <v/>
      </c>
      <c r="D37" s="400" t="str">
        <v/>
      </c>
      <c r="H37" s="10"/>
      <c r="I37" s="10"/>
    </row>
    <row r="38" spans="3:9" ht="10.050000000000001" customHeight="1"/>
    <row r="39" spans="3:9" ht="20.100000000000001" customHeight="1">
      <c r="C39" s="286" t="s">
        <v>590</v>
      </c>
      <c r="D39" s="291" t="str">
        <f>IF(COUNTBLANK(C40:C44)=5,"",5-COUNTBLANK(C40:C44))</f>
        <v/>
      </c>
    </row>
    <row r="40" spans="3:9" ht="20.25" customHeight="1">
      <c r="C40" s="246" t="str" cm="1">
        <f t="array" ref="C40:D44">IF(ISBLANK(Ajutor!N2:O6),"",Ajutor!N2:O6)</f>
        <v/>
      </c>
      <c r="D40" s="401" t="str">
        <v/>
      </c>
    </row>
    <row r="41" spans="3:9" ht="20.25" customHeight="1">
      <c r="C41" s="288" t="str">
        <v/>
      </c>
      <c r="D41" s="402" t="str">
        <v/>
      </c>
    </row>
    <row r="42" spans="3:9" ht="20.25" customHeight="1">
      <c r="C42" s="288" t="str">
        <v/>
      </c>
      <c r="D42" s="402" t="str">
        <v/>
      </c>
    </row>
    <row r="43" spans="3:9" ht="20.25" customHeight="1">
      <c r="C43" s="288" t="str">
        <v/>
      </c>
      <c r="D43" s="402" t="str">
        <v/>
      </c>
    </row>
    <row r="44" spans="3:9" ht="20.25" customHeight="1">
      <c r="C44" s="288" t="str">
        <v/>
      </c>
      <c r="D44" s="402" t="str">
        <v/>
      </c>
    </row>
    <row r="45" spans="3:9" ht="10.050000000000001" customHeight="1"/>
    <row r="46" spans="3:9" ht="20.100000000000001" customHeight="1">
      <c r="C46" s="287" t="s">
        <v>591</v>
      </c>
      <c r="D46" s="290">
        <f>IF(COUNTBLANK(_xlfn.ANCHORARRAY(C47))=5,"",5-COUNTBLANK(_xlfn.ANCHORARRAY(C47)))</f>
        <v>-5</v>
      </c>
      <c r="H46" s="7"/>
      <c r="I46" s="7"/>
    </row>
    <row r="47" spans="3:9" ht="16.05" customHeight="1">
      <c r="C47" s="246" t="str" cm="1">
        <f t="array" ref="C47:C56">IF(ISBLANK(Ajutor!B2:B11),"",Ajutor!B2:B11)</f>
        <v/>
      </c>
      <c r="D47" s="401" t="str" cm="1">
        <f t="array" ref="D47:D51">IF(ISBLANK(Ajutor!C2:C6),"",Ajutor!C2:C6)</f>
        <v/>
      </c>
      <c r="H47" s="7"/>
      <c r="I47" s="7"/>
    </row>
    <row r="48" spans="3:9" ht="16.05" customHeight="1">
      <c r="C48" s="246" t="str">
        <v/>
      </c>
      <c r="D48" s="401" t="str">
        <v/>
      </c>
      <c r="H48" s="7"/>
      <c r="I48" s="7"/>
    </row>
    <row r="49" spans="3:9" ht="16.05" customHeight="1">
      <c r="C49" s="246" t="str">
        <v/>
      </c>
      <c r="D49" s="401" t="str">
        <v/>
      </c>
      <c r="H49" s="7"/>
      <c r="I49" s="7"/>
    </row>
    <row r="50" spans="3:9" ht="16.05" customHeight="1">
      <c r="C50" s="246" t="str">
        <v/>
      </c>
      <c r="D50" s="401" t="str">
        <v/>
      </c>
      <c r="H50" s="10"/>
      <c r="I50" s="10"/>
    </row>
    <row r="51" spans="3:9" ht="16.05" customHeight="1">
      <c r="C51" s="246" t="str">
        <v/>
      </c>
      <c r="D51" s="401" t="str">
        <v/>
      </c>
      <c r="H51" s="10"/>
      <c r="I51" s="10"/>
    </row>
    <row r="52" spans="3:9" ht="16.05" customHeight="1">
      <c r="C52" s="246" t="str">
        <v/>
      </c>
      <c r="D52" s="401"/>
      <c r="H52" s="10"/>
      <c r="I52" s="10"/>
    </row>
    <row r="53" spans="3:9" ht="16.05" customHeight="1">
      <c r="C53" s="246" t="str">
        <v/>
      </c>
      <c r="D53" s="401"/>
      <c r="H53" s="10"/>
      <c r="I53" s="10"/>
    </row>
    <row r="54" spans="3:9" ht="16.05" customHeight="1">
      <c r="C54" s="246" t="str">
        <v/>
      </c>
      <c r="D54" s="401"/>
      <c r="H54" s="10"/>
      <c r="I54" s="10"/>
    </row>
    <row r="55" spans="3:9" ht="16.05" customHeight="1">
      <c r="C55" s="246" t="str">
        <v/>
      </c>
      <c r="D55" s="401"/>
      <c r="H55" s="10"/>
      <c r="I55" s="10"/>
    </row>
    <row r="56" spans="3:9" ht="16.05" customHeight="1">
      <c r="C56" s="246" t="str">
        <v/>
      </c>
      <c r="D56" s="401"/>
      <c r="H56" s="10"/>
      <c r="I56" s="10"/>
    </row>
    <row r="57" spans="3:9" ht="10.050000000000001" customHeight="1">
      <c r="C57" s="7"/>
    </row>
    <row r="58" spans="3:9" ht="20.25" customHeight="1">
      <c r="C58" s="228" t="s">
        <v>381</v>
      </c>
      <c r="D58" s="229"/>
    </row>
    <row r="59" spans="3:9" ht="33" customHeight="1">
      <c r="C59" s="399" t="str">
        <f>'Entity data'!D37</f>
        <v>Is there a designated person responsible for cybersecurity at the time of filling out this form?</v>
      </c>
      <c r="D59" s="299" t="str">
        <f>'Entity data'!C37</f>
        <v>Select</v>
      </c>
    </row>
    <row r="60" spans="3:9" ht="20.100000000000001" customHeight="1">
      <c r="C60" s="593" t="str">
        <f>CONCATENATE("Last name and first name: ",'Entity data'!D38," ",UPPER('Entity data'!D39))</f>
        <v xml:space="preserve">Last name and first name:  </v>
      </c>
      <c r="D60" s="593"/>
    </row>
    <row r="61" spans="3:9" ht="20.100000000000001" customHeight="1">
      <c r="C61" s="593" t="str">
        <f>CONCATENATE('Entity data'!C40, ": ", 'Entity data'!D40)</f>
        <v xml:space="preserve">Role: </v>
      </c>
      <c r="D61" s="593"/>
    </row>
    <row r="62" spans="3:9" ht="20.55" customHeight="1">
      <c r="C62" s="593" t="str">
        <f>CONCATENATE("Email address: ", 'Entity data'!D41)</f>
        <v xml:space="preserve">Email address: </v>
      </c>
      <c r="D62" s="593"/>
    </row>
    <row r="63" spans="3:9" ht="16.8" customHeight="1">
      <c r="C63" s="595" t="str">
        <f>CONCATENATE("Mobile phone number: ", 'Entity data'!D42)</f>
        <v xml:space="preserve">Mobile phone number: </v>
      </c>
      <c r="D63" s="595"/>
    </row>
    <row r="64" spans="3:9" ht="10.050000000000001" customHeight="1">
      <c r="C64" s="182"/>
      <c r="D64" s="182"/>
    </row>
    <row r="65" spans="3:7" ht="10.050000000000001" customHeight="1">
      <c r="C65" s="182"/>
      <c r="D65" s="182"/>
    </row>
    <row r="66" spans="3:7" ht="20.25" customHeight="1">
      <c r="C66" s="597" t="s">
        <v>592</v>
      </c>
      <c r="D66" s="597"/>
    </row>
    <row r="67" spans="3:7" ht="20.25" customHeight="1">
      <c r="C67" s="287" t="s">
        <v>389</v>
      </c>
      <c r="D67" s="232"/>
    </row>
    <row r="68" spans="3:7" ht="31.8" customHeight="1">
      <c r="C68" s="27" t="str">
        <f>'Entity data'!D45</f>
        <v>The person responsible for monitoring is the same as the person responsible for cybersecurity</v>
      </c>
      <c r="D68" s="500" t="str">
        <f>'Entity data'!C45</f>
        <v>Select</v>
      </c>
    </row>
    <row r="69" spans="3:7" s="55" customFormat="1" ht="20.100000000000001" customHeight="1">
      <c r="C69" s="27" t="str">
        <f>CONCATENATE(UPPER('Entity data'!D46)," ",'Entity data'!D47)</f>
        <v xml:space="preserve"> </v>
      </c>
      <c r="D69" s="27"/>
    </row>
    <row r="70" spans="3:7" s="55" customFormat="1" ht="10.050000000000001" customHeight="1">
      <c r="C70" s="8"/>
      <c r="D70" s="7"/>
    </row>
    <row r="71" spans="3:7" ht="20.25" customHeight="1">
      <c r="C71" s="287" t="s">
        <v>392</v>
      </c>
      <c r="D71" s="290">
        <f>COUNTA('Entity data'!D50:D52)</f>
        <v>0</v>
      </c>
    </row>
    <row r="72" spans="3:7" ht="20.25" customHeight="1">
      <c r="C72" s="288" t="str">
        <f>CONCATENATE('Entity data'!C50,": ",'Entity data'!D50)</f>
        <v xml:space="preserve">Mobile phone number: </v>
      </c>
      <c r="D72" s="288"/>
    </row>
    <row r="73" spans="3:7" ht="20.25" customHeight="1">
      <c r="C73" s="249" t="str">
        <f>CONCATENATE('Entity data'!C51, ": ",'Entity data'!D51)</f>
        <v xml:space="preserve">Telephone number: </v>
      </c>
      <c r="D73" s="249"/>
    </row>
    <row r="74" spans="3:7" ht="20.25" customHeight="1">
      <c r="C74" s="249" t="str">
        <f>CONCATENATE('Entity data'!C52,": ",'Entity data'!D52)</f>
        <v xml:space="preserve">Email: </v>
      </c>
      <c r="D74" s="249"/>
    </row>
    <row r="75" spans="3:7" ht="15" customHeight="1"/>
    <row r="76" spans="3:7" ht="20.25" customHeight="1">
      <c r="C76" s="228" t="s">
        <v>394</v>
      </c>
      <c r="D76" s="229"/>
    </row>
    <row r="77" spans="3:7" ht="20.25" customHeight="1">
      <c r="C77" s="287" t="s">
        <v>395</v>
      </c>
      <c r="D77" s="292">
        <f>IF(C78&lt;&gt;"", (LEN(C78)-LEN(SUBSTITUTE(C78, "; ", "")))/LEN("; ") +1, 0)</f>
        <v>0</v>
      </c>
    </row>
    <row r="78" spans="3:7" ht="79.95" customHeight="1">
      <c r="C78" s="539" t="str">
        <f>IF(ISBLANK('Entity data'!D54), "",'Entity data'!D54)</f>
        <v/>
      </c>
      <c r="D78" s="539"/>
    </row>
    <row r="79" spans="3:7" ht="10.050000000000001" customHeight="1">
      <c r="C79" s="7"/>
      <c r="D79" s="7"/>
    </row>
    <row r="80" spans="3:7" ht="20.25" customHeight="1">
      <c r="C80" s="228" t="s">
        <v>396</v>
      </c>
      <c r="D80" s="229"/>
      <c r="G80" s="56"/>
    </row>
    <row r="81" spans="3:6" ht="20.25" customHeight="1">
      <c r="C81" s="287" t="s">
        <v>397</v>
      </c>
      <c r="D81" s="292">
        <f>IF('Entity data'!D57&lt;&gt;"", (LEN('Entity data'!D57)-LEN(SUBSTITUTE('Entity data'!D57, ", ", "")))/LEN(", ") +1, 0)</f>
        <v>0</v>
      </c>
    </row>
    <row r="82" spans="3:6" ht="20.100000000000001" customHeight="1">
      <c r="C82" s="54" t="str">
        <f>CONCATENATE('Entity data'!C57,": ")</f>
        <v xml:space="preserve">Member States in which the entity provides services: </v>
      </c>
      <c r="D82" s="54"/>
    </row>
    <row r="83" spans="3:6" ht="20.100000000000001" customHeight="1">
      <c r="C83" s="592">
        <f>'Entity data'!D57</f>
        <v>0</v>
      </c>
      <c r="D83" s="539"/>
    </row>
    <row r="84" spans="3:6" ht="20.100000000000001" customHeight="1">
      <c r="C84" s="54" t="str">
        <f>CONCATENATE('Entity data'!C58,": ")</f>
        <v xml:space="preserve">Addresses of registered office/branch offices in the EU: </v>
      </c>
      <c r="D84" s="249"/>
    </row>
    <row r="85" spans="3:6" ht="60" customHeight="1">
      <c r="C85" s="596" t="str">
        <f>IF('Entity data'!D58="","-",'Entity data'!D58)</f>
        <v>-</v>
      </c>
      <c r="D85" s="596"/>
    </row>
    <row r="86" spans="3:6" ht="10.050000000000001" customHeight="1">
      <c r="C86" s="248"/>
      <c r="D86" s="248"/>
    </row>
    <row r="87" spans="3:6" ht="20.25" customHeight="1">
      <c r="C87" s="287" t="s">
        <v>400</v>
      </c>
      <c r="D87" s="232"/>
      <c r="E87" s="298"/>
      <c r="F87" s="53"/>
    </row>
    <row r="88" spans="3:6" ht="20.25" customHeight="1">
      <c r="C88" s="405" t="str">
        <f>IF('Entity data'!C60="Da", "Nu este cazul să aplicăm pentru această subsecțiune", "")</f>
        <v/>
      </c>
      <c r="D88" s="501" t="str">
        <f>'Entity data'!C60</f>
        <v>Select</v>
      </c>
      <c r="F88" s="53"/>
    </row>
    <row r="89" spans="3:6" s="10" customFormat="1" ht="23.4" customHeight="1">
      <c r="C89" s="398" t="str">
        <f>IF('Entity data'!C60=TRUE,
   'Entity data'!C66 &amp; ", " &amp; 'Entity data'!C67 &amp; " / " &amp; 'Entity data'!C61 &amp; ":",
   'Entity data'!C66 &amp; ", " &amp; 'Entity data'!C67 &amp; " / " &amp; 'Entity data'!C61 &amp; ": " &amp;
   _xlfn.TEXTJOIN(" ", TRUE,
      IF('Entity data'!D66&lt;&gt;"", 'Entity data'!D66, ""),
      IF('Entity data'!D67&lt;&gt;"", 'Entity data'!D67, ""),
      IF('Entity data'!D61&lt;&gt;"", ", reprezentant al " &amp; 'Entity data'!D61, "")
   )
)</f>
        <v xml:space="preserve">Last name , First name / Name: </v>
      </c>
      <c r="F89" s="53"/>
    </row>
    <row r="90" spans="3:6" ht="20.25" customHeight="1">
      <c r="C90" s="406" t="str">
        <f>IF('Entity data'!C60=TRUE,
   'Entity data'!C63 &amp; ":",
   IF(AND('Entity data'!D63&lt;&gt;"", 'Entity data'!D69&lt;&gt;""),
      'Entity data'!C63 &amp; ": " &amp; 'Entity data'!D63 &amp; ", " &amp; 'Entity data'!D69,
      'Entity data'!C63 &amp; ": " &amp; 'Entity data'!D63 &amp; 'Entity data'!D69
   )
)</f>
        <v xml:space="preserve">Email: </v>
      </c>
      <c r="F90" s="53"/>
    </row>
    <row r="91" spans="3:6" ht="20.25" customHeight="1">
      <c r="C91" s="398" t="str">
        <f>IF('Entity data'!C60=TRUE,
   'Entity data'!C64 &amp; ":",
   IF(AND('Entity data'!D64&lt;&gt;"", 'Entity data'!D70&lt;&gt;""),
      'Entity data'!C64 &amp; ": " &amp; 'Entity data'!D64 &amp; ", " &amp; 'Entity data'!D70,
      'Entity data'!C64 &amp; ": " &amp; 'Entity data'!D64 &amp; 'Entity data'!D70
   )
)</f>
        <v xml:space="preserve">Phone number: </v>
      </c>
      <c r="D91" s="248"/>
      <c r="F91" s="53"/>
    </row>
    <row r="92" spans="3:6" s="10" customFormat="1" ht="51" customHeight="1">
      <c r="C92" s="398" t="str">
        <f>IF('Entity data'!C60=TRUE,
   'Entity data'!C68 &amp; " / " &amp; 'Entity data'!C62 &amp; ":",
   'Entity data'!C68 &amp; " / " &amp; 'Entity data'!C62 &amp; ": " &amp;
   IF('Entity data'!D68&lt;&gt;"", 'Entity data'!D68, "") &amp;
   IF(AND('Entity data'!D68&lt;&gt;"", 'Entity data'!D62&lt;&gt;""), ", ", "") &amp;
   IF('Entity data'!D62&lt;&gt;"", 'Entity data'!D62, "")
)</f>
        <v xml:space="preserve">Home address and/or residence, as applicable / Registered office address: </v>
      </c>
      <c r="D92" s="7"/>
      <c r="F92" s="53"/>
    </row>
    <row r="93" spans="3:6" ht="10.050000000000001" customHeight="1">
      <c r="F93" s="53"/>
    </row>
    <row r="94" spans="3:6" ht="10.050000000000001" customHeight="1">
      <c r="F94" s="53"/>
    </row>
    <row r="95" spans="3:6" ht="20.25" customHeight="1">
      <c r="C95" s="283" t="s">
        <v>593</v>
      </c>
      <c r="D95" s="284"/>
    </row>
    <row r="96" spans="3:6" ht="20.25" customHeight="1">
      <c r="C96" s="231" t="s">
        <v>594</v>
      </c>
      <c r="D96" s="229"/>
    </row>
    <row r="97" spans="3:4" ht="30" customHeight="1">
      <c r="C97" s="293" t="str" cm="1">
        <f t="array" ref="C97:C100">_xlfn._xlws.FILTER('Entity assessment'!C169:C172,'Entity assessment'!D169:D172&lt;&gt;"", "Secțiune nefinalizată! Verificați și răspundeți la toate cele 4 întrebări.")</f>
        <v>9a. The entity is the sole provider of a service that is essential to supporting critical societal and economic activities.</v>
      </c>
      <c r="D97" s="502" t="str">
        <f>IF(C97="Secțiune nefinalizată! Verificați și răspundeți la toate cele 4 întrebări.","",IF(ISBLANK(C97),"",VLOOKUP('Notification form'!C97,'Entity assessment'!C169:D172,2,FALSE)))</f>
        <v>Select</v>
      </c>
    </row>
    <row r="98" spans="3:4" ht="30" customHeight="1">
      <c r="C98" s="294" t="str">
        <v>9b. Disruption of the service provided by the entity could have a significant impact on public safety, public security, or public health.</v>
      </c>
      <c r="D98" s="503" t="str">
        <f>IF(ISBLANK(C98),"",VLOOKUP('Notification form'!C98,'Entity assessment'!C170:D173,2,FALSE))</f>
        <v>Select</v>
      </c>
    </row>
    <row r="99" spans="3:4" ht="40.049999999999997" customHeight="1">
      <c r="C99" s="294" t="str">
        <v>9c. Disruption to the service provided by the entity could generate significant systemic risk, particularly for sectors where such disruption could have a cross-border impact.</v>
      </c>
      <c r="D99" s="503" t="str">
        <f>IF(ISBLANK(C99),"",VLOOKUP('Notification form'!C99,'Entity assessment'!C171:D173,2,FALSE))</f>
        <v>Select</v>
      </c>
    </row>
    <row r="100" spans="3:4" ht="42" customHeight="1">
      <c r="C100" s="295" t="str">
        <v>9d. The entity is critical due to its specific importance at national or regional level for the sector or type of services concerned or for other interdependent sectors.</v>
      </c>
      <c r="D100" s="504" t="str">
        <f>IF(ISBLANK(C100),"",VLOOKUP('Notification form'!C100,'Entity assessment'!C172:D173,2,FALSE))</f>
        <v>Select</v>
      </c>
    </row>
    <row r="101" spans="3:4" ht="10.050000000000001" customHeight="1">
      <c r="C101" s="58"/>
    </row>
    <row r="102" spans="3:4" ht="10.050000000000001" customHeight="1">
      <c r="C102" s="58"/>
    </row>
    <row r="103" spans="3:4" ht="20.25" customHeight="1">
      <c r="C103" s="231" t="s">
        <v>284</v>
      </c>
      <c r="D103" s="229"/>
    </row>
    <row r="104" spans="3:4" ht="30" customHeight="1">
      <c r="C104" s="59" t="s">
        <v>561</v>
      </c>
      <c r="D104" s="60" t="str">
        <f>'Entity assessment'!D153</f>
        <v>Select</v>
      </c>
    </row>
    <row r="105" spans="3:4" ht="20.100000000000001" customHeight="1">
      <c r="C105" s="61"/>
      <c r="D105" s="9"/>
    </row>
    <row r="106" spans="3:4" ht="20.25" customHeight="1">
      <c r="C106" s="283" t="s">
        <v>406</v>
      </c>
      <c r="D106" s="284"/>
    </row>
    <row r="107" spans="3:4" ht="20.100000000000001" customHeight="1">
      <c r="C107" s="62" t="str">
        <f>'Entity data'!D72</f>
        <v>Are there any attached documents?</v>
      </c>
      <c r="D107" s="505" t="str">
        <f>'Entity data'!C72</f>
        <v>Select</v>
      </c>
    </row>
    <row r="108" spans="3:4" ht="20.100000000000001" customHeight="1">
      <c r="C108" s="63" t="str">
        <f>CONCATENATE('Entity data'!C73,": ")</f>
        <v xml:space="preserve">Number of attached documents: </v>
      </c>
      <c r="D108" s="64">
        <f>'Entity data'!D73</f>
        <v>0</v>
      </c>
    </row>
    <row r="109" spans="3:4" ht="20.100000000000001" customHeight="1">
      <c r="C109" s="38" t="str">
        <f>'Entity data'!C74</f>
        <v>Attached documents certifying the company's classification according to the size criterion:</v>
      </c>
    </row>
    <row r="110" spans="3:4" ht="20.100000000000001" customHeight="1">
      <c r="C110" s="532" t="str">
        <f>IF('Entity data'!D74="","",'Entity data'!D74)</f>
        <v/>
      </c>
      <c r="D110" s="532"/>
    </row>
    <row r="111" spans="3:4" ht="20.100000000000001" customHeight="1">
      <c r="C111" s="57" t="str">
        <f>'Entity data'!C75</f>
        <v>Self-assessment of the applicability of Article 9 of OUG No. 155/2024, as appropriate</v>
      </c>
    </row>
    <row r="112" spans="3:4" ht="20.100000000000001" customHeight="1">
      <c r="C112" s="532" t="str">
        <f>IF('Entity data'!D75="","",'Entity data'!D75)</f>
        <v/>
      </c>
      <c r="D112" s="532"/>
    </row>
    <row r="113" spans="3:4" ht="20.100000000000001" customHeight="1">
      <c r="C113" s="38" t="str">
        <f>'Entity data'!C76</f>
        <v>Other attached documents requested by DNSC</v>
      </c>
    </row>
    <row r="114" spans="3:4" ht="40.049999999999997" customHeight="1">
      <c r="C114" s="520" t="str">
        <f>IF('Entity data'!D76="","",'Entity data'!D76)</f>
        <v/>
      </c>
      <c r="D114" s="520"/>
    </row>
    <row r="115" spans="3:4" ht="10.050000000000001" customHeight="1">
      <c r="C115" s="10"/>
      <c r="D115" s="10"/>
    </row>
    <row r="116" spans="3:4" ht="20.25" customHeight="1">
      <c r="C116" s="475" t="s">
        <v>343</v>
      </c>
      <c r="D116" s="476"/>
    </row>
    <row r="117" spans="3:4" ht="80.400000000000006" customHeight="1">
      <c r="C117" s="296" t="str">
        <f>CONCATENATE("Considering the provisions of OUG No. 155/2024, based on the information/data entered and the assessment according to the information provided in this form, ",C9, " meets the criteria to be considered:")</f>
        <v>Considering the provisions of OUG No. 155/2024, based on the information/data entered and the assessment according to the information provided in this form,  meets the criteria to be considered:</v>
      </c>
      <c r="D117" s="297" t="str">
        <f>'Entity assessment'!D176</f>
        <v>The data entered is insufficient to generate a preliminary assessment.</v>
      </c>
    </row>
    <row r="118" spans="3:4" ht="38.4" customHeight="1">
      <c r="D118" s="10"/>
    </row>
    <row r="119" spans="3:4" ht="20.25" customHeight="1">
      <c r="C119" s="283" t="s">
        <v>413</v>
      </c>
      <c r="D119" s="284"/>
    </row>
    <row r="120" spans="3:4" ht="20.100000000000001" customHeight="1">
      <c r="C120" s="65" t="str">
        <f>CONCATENATE("Last name and first name: ",'Entity data'!D82," ",'Entity data'!D81)</f>
        <v xml:space="preserve">Last name and first name:  </v>
      </c>
      <c r="D120" s="247"/>
    </row>
    <row r="121" spans="3:4" ht="20.100000000000001" customHeight="1">
      <c r="C121" s="65" t="str">
        <f>CONCATENATE("Role: ",'Entity data'!D83)</f>
        <v xml:space="preserve">Role: </v>
      </c>
    </row>
    <row r="122" spans="3:4" ht="30" customHeight="1">
      <c r="C122" s="66" t="s">
        <v>595</v>
      </c>
      <c r="D122" s="67">
        <f>'Entity data'!D84</f>
        <v>0</v>
      </c>
    </row>
    <row r="123" spans="3:4" ht="10.050000000000001" customHeight="1"/>
    <row r="135" ht="173.1" customHeight="1"/>
  </sheetData>
  <sheetProtection algorithmName="SHA-512" hashValue="DIysnH7SkBhaCwHLQh3Ljh9xCqSa1nfLMdK9xCLVfTxjhgonS+OwLw7/xUncwmMk2gxcurIwrLgE4CKQ7rXmUA==" saltValue="uo7rKzpG9iVrbJwHstUDsw==" spinCount="100000" sheet="1" selectLockedCells="1"/>
  <mergeCells count="12">
    <mergeCell ref="C3:D3"/>
    <mergeCell ref="C63:D63"/>
    <mergeCell ref="C78:D78"/>
    <mergeCell ref="C85:D85"/>
    <mergeCell ref="C110:D110"/>
    <mergeCell ref="C66:D66"/>
    <mergeCell ref="C112:D112"/>
    <mergeCell ref="C114:D114"/>
    <mergeCell ref="C83:D83"/>
    <mergeCell ref="C61:D61"/>
    <mergeCell ref="C60:D60"/>
    <mergeCell ref="C62:D62"/>
  </mergeCells>
  <conditionalFormatting sqref="C60 C61:D62">
    <cfRule type="expression" dxfId="8" priority="63">
      <formula>$D$59=FALSE</formula>
    </cfRule>
  </conditionalFormatting>
  <conditionalFormatting sqref="C85:C86">
    <cfRule type="expression" dxfId="7" priority="88">
      <formula>$D$107=FALSE</formula>
    </cfRule>
    <cfRule type="expression" dxfId="6" priority="89">
      <formula>$D$28=TRUE</formula>
    </cfRule>
  </conditionalFormatting>
  <conditionalFormatting sqref="C47:D47">
    <cfRule type="containsText" dxfId="5" priority="19" operator="containsText" text="Niciun serviciu furnizat! Selectați cel puțin un serviciu furnizat.">
      <formula>NOT(ISERROR(SEARCH("Niciun serviciu furnizat! Selectați cel puțin un serviciu furnizat.",C47)))</formula>
    </cfRule>
  </conditionalFormatting>
  <conditionalFormatting sqref="C63:D65">
    <cfRule type="expression" dxfId="4" priority="66">
      <formula>$D$59=FALSE</formula>
    </cfRule>
  </conditionalFormatting>
  <conditionalFormatting sqref="C69:D69">
    <cfRule type="expression" dxfId="3" priority="62">
      <formula>$D$68=TRUE</formula>
    </cfRule>
  </conditionalFormatting>
  <conditionalFormatting sqref="C108:D109 C110:C112 D111 C113:D113 C114">
    <cfRule type="expression" dxfId="0" priority="60">
      <formula>$D$107=FALSE</formula>
    </cfRule>
  </conditionalFormatting>
  <printOptions horizontalCentered="1" verticalCentered="1"/>
  <pageMargins left="0.51181102362204722" right="0.27559055118110237" top="0.70866141732283472" bottom="0.70866141732283472" header="0.27559055118110237" footer="0.27559055118110237"/>
  <pageSetup paperSize="9" scale="88" orientation="portrait" r:id="rId1"/>
  <headerFooter>
    <oddHeader>&amp;L&amp;"Aptos Light,Regular"
FORMULAR NOTIFICARE&amp;C&amp;"Aptos Light,Regular"
NIS2@RO&amp;R&amp;"Aptos Light,Regular"
OUG nr. 155/2024 
(aprobată prin Legea nr. 124/2025)</oddHeader>
    <oddFooter>&amp;L&amp;"Aptos Light,Obișnuit"&amp;10&amp;D&amp;R&amp;"Aptos Light,Obișnuit"&amp;10&amp;P/&amp;N</oddFooter>
  </headerFooter>
  <rowBreaks count="3" manualBreakCount="3">
    <brk id="29" min="1" max="4" man="1"/>
    <brk id="64" min="1" max="4" man="1"/>
    <brk id="93" min="1" max="4" man="1"/>
  </rowBreaks>
  <extLst>
    <ext xmlns:x14="http://schemas.microsoft.com/office/spreadsheetml/2009/9/main" uri="{78C0D931-6437-407d-A8EE-F0AAD7539E65}">
      <x14:conditionalFormattings>
        <x14:conditionalFormatting xmlns:xm="http://schemas.microsoft.com/office/excel/2006/main">
          <x14:cfRule type="expression" priority="1" id="{F9ADA9B1-1214-4118-85FE-E0E4EB917FC6}">
            <xm:f>ISBLANK('Entity data'!D54)</xm:f>
            <x14:dxf>
              <fill>
                <patternFill>
                  <bgColor rgb="FFF3FCFF"/>
                </patternFill>
              </fill>
            </x14:dxf>
          </x14:cfRule>
          <xm:sqref>C78:D78</xm:sqref>
        </x14:conditionalFormatting>
        <x14:conditionalFormatting xmlns:xm="http://schemas.microsoft.com/office/excel/2006/main">
          <x14:cfRule type="expression" priority="109" id="{22CC2650-2E18-47E0-81F9-DD58A5587BDA}">
            <xm:f>'Entity assessment'!$E$166=1</xm:f>
            <x14:dxf>
              <font>
                <color rgb="FFF3FCFF"/>
              </font>
              <fill>
                <patternFill>
                  <bgColor rgb="FFF3FCFF"/>
                </patternFill>
              </fill>
            </x14:dxf>
          </x14:cfRule>
          <xm:sqref>C97:D100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89FD1-BCAD-431F-8B8F-44C3F0ABC671}">
  <sheetPr codeName="Foaie5">
    <tabColor rgb="FF002060"/>
  </sheetPr>
  <dimension ref="B1:AU116"/>
  <sheetViews>
    <sheetView showGridLines="0" zoomScaleNormal="100" workbookViewId="0">
      <selection activeCell="F19" sqref="F19"/>
    </sheetView>
  </sheetViews>
  <sheetFormatPr defaultColWidth="9.21875" defaultRowHeight="20.100000000000001" customHeight="1"/>
  <cols>
    <col min="1" max="1" width="3.5546875" style="68" customWidth="1"/>
    <col min="2" max="2" width="12.21875" style="68" customWidth="1"/>
    <col min="3" max="3" width="13.77734375" style="68" customWidth="1"/>
    <col min="4" max="4" width="21.44140625" style="68" customWidth="1"/>
    <col min="5" max="5" width="19" style="68" customWidth="1"/>
    <col min="6" max="6" width="37.77734375" style="68" customWidth="1"/>
    <col min="7" max="7" width="56.5546875" style="68" customWidth="1"/>
    <col min="8" max="8" width="10.5546875" style="68" customWidth="1"/>
    <col min="9" max="9" width="3.5546875" style="68" customWidth="1"/>
    <col min="10" max="10" width="16.77734375" style="68" customWidth="1"/>
    <col min="11" max="11" width="19" style="68" customWidth="1"/>
    <col min="12" max="12" width="9.21875" style="68" customWidth="1"/>
    <col min="13" max="13" width="6.77734375" style="68" customWidth="1"/>
    <col min="14" max="14" width="9.21875" style="68" customWidth="1"/>
    <col min="15" max="15" width="5.44140625" style="68" customWidth="1"/>
    <col min="16" max="16" width="3.5546875" style="68" customWidth="1"/>
    <col min="17" max="17" width="114.44140625" style="182" customWidth="1"/>
    <col min="18" max="21" width="9.21875" style="182" customWidth="1"/>
    <col min="22" max="22" width="3.5546875" style="71" customWidth="1"/>
    <col min="23" max="23" width="57" style="68" customWidth="1"/>
    <col min="24" max="24" width="3.5546875" style="68" customWidth="1"/>
    <col min="25" max="25" width="60.77734375" style="68" customWidth="1"/>
    <col min="26" max="26" width="7.5546875" style="68" customWidth="1"/>
    <col min="27" max="27" width="10" style="68" customWidth="1"/>
    <col min="28" max="28" width="3.5546875" style="68" customWidth="1"/>
    <col min="29" max="30" width="9.21875" style="72" customWidth="1"/>
    <col min="31" max="31" width="12.44140625" style="72" customWidth="1"/>
    <col min="32" max="32" width="10.77734375" style="72" customWidth="1"/>
    <col min="33" max="33" width="12.5546875" style="72" customWidth="1"/>
    <col min="34" max="34" width="17.21875" style="72" customWidth="1"/>
    <col min="35" max="35" width="10.5546875" style="72" customWidth="1"/>
    <col min="36" max="38" width="12.5546875" style="72" customWidth="1"/>
    <col min="39" max="39" width="18.5546875" style="72" customWidth="1"/>
    <col min="40" max="40" width="12.21875" style="72" customWidth="1"/>
    <col min="41" max="41" width="3.5546875" style="68" customWidth="1"/>
    <col min="42" max="42" width="7" style="73" customWidth="1"/>
    <col min="43" max="43" width="45.5546875" style="73" customWidth="1"/>
    <col min="44" max="44" width="3.5546875" style="71" customWidth="1"/>
    <col min="45" max="45" width="7.44140625" style="73" customWidth="1"/>
    <col min="46" max="46" width="45.5546875" style="73" customWidth="1"/>
    <col min="47" max="47" width="3.5546875" style="71" customWidth="1"/>
    <col min="48" max="16384" width="9.21875" style="68"/>
  </cols>
  <sheetData>
    <row r="1" spans="2:46" ht="20.100000000000001" customHeight="1" thickBot="1">
      <c r="J1" s="69">
        <v>1</v>
      </c>
      <c r="K1" s="69">
        <v>2</v>
      </c>
      <c r="L1" s="69">
        <v>3</v>
      </c>
      <c r="M1" s="69">
        <v>4</v>
      </c>
      <c r="N1" s="69">
        <v>5</v>
      </c>
      <c r="O1" s="69">
        <v>6</v>
      </c>
      <c r="Q1" s="70">
        <v>1</v>
      </c>
      <c r="R1" s="70">
        <v>2</v>
      </c>
      <c r="S1" s="70">
        <v>3</v>
      </c>
      <c r="T1" s="70">
        <v>4</v>
      </c>
      <c r="U1" s="70">
        <v>5</v>
      </c>
    </row>
    <row r="2" spans="2:46" ht="30" customHeight="1" thickTop="1" thickBot="1">
      <c r="B2" s="380" t="s">
        <v>21</v>
      </c>
      <c r="C2" s="381" t="s">
        <v>22</v>
      </c>
      <c r="D2" s="381" t="s">
        <v>23</v>
      </c>
      <c r="E2" s="381" t="s">
        <v>24</v>
      </c>
      <c r="F2" s="381" t="s">
        <v>25</v>
      </c>
      <c r="G2" s="381" t="s">
        <v>26</v>
      </c>
      <c r="H2" s="382" t="s">
        <v>27</v>
      </c>
      <c r="I2" s="74"/>
      <c r="J2" s="380" t="s">
        <v>9</v>
      </c>
      <c r="K2" s="381" t="s">
        <v>28</v>
      </c>
      <c r="L2" s="381" t="s">
        <v>29</v>
      </c>
      <c r="M2" s="381" t="s">
        <v>30</v>
      </c>
      <c r="N2" s="381" t="s">
        <v>29</v>
      </c>
      <c r="O2" s="385" t="s">
        <v>31</v>
      </c>
      <c r="Q2" s="377" t="s">
        <v>33</v>
      </c>
      <c r="R2" s="378" t="s">
        <v>34</v>
      </c>
      <c r="S2" s="378" t="s">
        <v>35</v>
      </c>
      <c r="T2" s="378" t="s">
        <v>36</v>
      </c>
      <c r="U2" s="379" t="s">
        <v>37</v>
      </c>
      <c r="Y2" s="367" t="s">
        <v>25</v>
      </c>
      <c r="Z2" s="368" t="s">
        <v>38</v>
      </c>
      <c r="AA2" s="369" t="s">
        <v>39</v>
      </c>
      <c r="AC2" s="360" t="s">
        <v>15</v>
      </c>
      <c r="AD2" s="361" t="s">
        <v>16</v>
      </c>
      <c r="AE2" s="361" t="s">
        <v>17</v>
      </c>
      <c r="AF2" s="361" t="s">
        <v>18</v>
      </c>
      <c r="AG2" s="361" t="s">
        <v>19</v>
      </c>
      <c r="AH2" s="362" t="s">
        <v>20</v>
      </c>
      <c r="AI2" s="75"/>
      <c r="AJ2" s="376"/>
      <c r="AK2" s="364" t="s">
        <v>40</v>
      </c>
      <c r="AL2" s="373" t="s">
        <v>41</v>
      </c>
      <c r="AP2" s="370" t="s">
        <v>42</v>
      </c>
      <c r="AQ2" s="370" t="s">
        <v>43</v>
      </c>
      <c r="AS2" s="371" t="s">
        <v>44</v>
      </c>
      <c r="AT2" s="372" t="s">
        <v>45</v>
      </c>
    </row>
    <row r="3" spans="2:46" ht="20.100000000000001" customHeight="1" thickTop="1">
      <c r="B3" s="76" t="s">
        <v>382</v>
      </c>
      <c r="C3" s="77" t="s">
        <v>382</v>
      </c>
      <c r="D3" s="77" t="s">
        <v>382</v>
      </c>
      <c r="E3" s="77" t="s">
        <v>382</v>
      </c>
      <c r="F3" s="77" t="s">
        <v>46</v>
      </c>
      <c r="G3" s="77" t="s">
        <v>47</v>
      </c>
      <c r="H3" s="78">
        <v>6</v>
      </c>
      <c r="J3" s="79" t="s">
        <v>48</v>
      </c>
      <c r="K3" s="80" t="s">
        <v>49</v>
      </c>
      <c r="L3" s="81" t="s">
        <v>50</v>
      </c>
      <c r="M3" s="80" t="s">
        <v>51</v>
      </c>
      <c r="N3" s="82" t="str">
        <f t="shared" ref="N3:N11" si="0">MID(M3,4,2)</f>
        <v>71</v>
      </c>
      <c r="O3" s="81">
        <v>51</v>
      </c>
      <c r="Q3" s="83" t="s">
        <v>438</v>
      </c>
      <c r="R3" s="84">
        <v>1</v>
      </c>
      <c r="S3" s="84"/>
      <c r="T3" s="84"/>
      <c r="U3" s="85"/>
      <c r="V3" s="86"/>
      <c r="W3" s="87" t="s">
        <v>52</v>
      </c>
      <c r="Y3" s="79" t="s">
        <v>53</v>
      </c>
      <c r="Z3" s="318" t="s">
        <v>54</v>
      </c>
      <c r="AA3" s="319">
        <v>1</v>
      </c>
      <c r="AC3" s="88" t="s">
        <v>382</v>
      </c>
      <c r="AD3" s="89" t="s">
        <v>382</v>
      </c>
      <c r="AE3" s="89" t="s">
        <v>382</v>
      </c>
      <c r="AF3" s="89" t="s">
        <v>382</v>
      </c>
      <c r="AG3" s="89" t="s">
        <v>382</v>
      </c>
      <c r="AH3" s="90" t="s">
        <v>382</v>
      </c>
      <c r="AJ3" s="374" t="s">
        <v>58</v>
      </c>
      <c r="AK3" s="91" t="s">
        <v>60</v>
      </c>
      <c r="AL3" s="92" t="s">
        <v>61</v>
      </c>
      <c r="AP3" s="338">
        <v>101</v>
      </c>
      <c r="AQ3" s="339" t="s">
        <v>596</v>
      </c>
      <c r="AS3" s="344">
        <v>1011</v>
      </c>
      <c r="AT3" s="346" t="s">
        <v>440</v>
      </c>
    </row>
    <row r="4" spans="2:46" ht="20.100000000000001" customHeight="1" thickBot="1">
      <c r="B4" s="93" t="s">
        <v>390</v>
      </c>
      <c r="C4" s="94" t="s">
        <v>62</v>
      </c>
      <c r="D4" s="95" t="s">
        <v>63</v>
      </c>
      <c r="E4" s="95" t="s">
        <v>63</v>
      </c>
      <c r="F4" s="94" t="s">
        <v>64</v>
      </c>
      <c r="G4" s="94" t="s">
        <v>434</v>
      </c>
      <c r="H4" s="78">
        <v>5</v>
      </c>
      <c r="J4" s="96" t="s">
        <v>65</v>
      </c>
      <c r="K4" s="97" t="s">
        <v>65</v>
      </c>
      <c r="L4" s="98" t="s">
        <v>66</v>
      </c>
      <c r="M4" s="97" t="s">
        <v>67</v>
      </c>
      <c r="N4" s="99" t="str">
        <f t="shared" si="0"/>
        <v>51</v>
      </c>
      <c r="O4" s="98">
        <v>31</v>
      </c>
      <c r="Q4" s="100" t="s">
        <v>439</v>
      </c>
      <c r="R4" s="101"/>
      <c r="S4" s="101">
        <v>101</v>
      </c>
      <c r="T4" s="101"/>
      <c r="U4" s="102"/>
      <c r="W4" s="103" t="s">
        <v>68</v>
      </c>
      <c r="Y4" s="96" t="s">
        <v>69</v>
      </c>
      <c r="Z4" s="320" t="s">
        <v>70</v>
      </c>
      <c r="AA4" s="321">
        <v>2</v>
      </c>
      <c r="AC4" s="275" t="s">
        <v>390</v>
      </c>
      <c r="AD4" s="276" t="s">
        <v>553</v>
      </c>
      <c r="AE4" s="276" t="s">
        <v>56</v>
      </c>
      <c r="AF4" s="276" t="s">
        <v>57</v>
      </c>
      <c r="AG4" s="276" t="s">
        <v>58</v>
      </c>
      <c r="AH4" s="277" t="s">
        <v>59</v>
      </c>
      <c r="AJ4" s="375" t="s">
        <v>70</v>
      </c>
      <c r="AK4" s="107" t="s">
        <v>61</v>
      </c>
      <c r="AL4" s="108" t="s">
        <v>61</v>
      </c>
      <c r="AP4" s="340">
        <v>102</v>
      </c>
      <c r="AQ4" s="341" t="s">
        <v>74</v>
      </c>
      <c r="AS4" s="345">
        <v>1012</v>
      </c>
      <c r="AT4" s="346" t="s">
        <v>449</v>
      </c>
    </row>
    <row r="5" spans="2:46" ht="20.100000000000001" customHeight="1" thickTop="1">
      <c r="B5" s="93" t="s">
        <v>391</v>
      </c>
      <c r="C5" s="94" t="s">
        <v>75</v>
      </c>
      <c r="D5" s="95" t="s">
        <v>76</v>
      </c>
      <c r="E5" s="95" t="s">
        <v>77</v>
      </c>
      <c r="F5" s="94" t="s">
        <v>78</v>
      </c>
      <c r="G5" s="94" t="s">
        <v>435</v>
      </c>
      <c r="H5" s="78">
        <v>2</v>
      </c>
      <c r="J5" s="96" t="s">
        <v>79</v>
      </c>
      <c r="K5" s="97" t="s">
        <v>80</v>
      </c>
      <c r="L5" s="98" t="s">
        <v>81</v>
      </c>
      <c r="M5" s="97" t="s">
        <v>82</v>
      </c>
      <c r="N5" s="99" t="str">
        <f t="shared" si="0"/>
        <v>31</v>
      </c>
      <c r="O5" s="98">
        <v>11</v>
      </c>
      <c r="Q5" s="100" t="s">
        <v>440</v>
      </c>
      <c r="R5" s="101"/>
      <c r="S5" s="101">
        <v>101</v>
      </c>
      <c r="T5" s="101">
        <v>1011</v>
      </c>
      <c r="U5" s="102"/>
      <c r="W5" s="109" t="s">
        <v>83</v>
      </c>
      <c r="Y5" s="96" t="s">
        <v>4</v>
      </c>
      <c r="Z5" s="320" t="s">
        <v>58</v>
      </c>
      <c r="AA5" s="321">
        <v>3</v>
      </c>
      <c r="AC5" s="104" t="s">
        <v>391</v>
      </c>
      <c r="AD5" s="105" t="s">
        <v>554</v>
      </c>
      <c r="AE5" s="105" t="s">
        <v>71</v>
      </c>
      <c r="AF5" s="105" t="s">
        <v>72</v>
      </c>
      <c r="AG5" s="105" t="s">
        <v>70</v>
      </c>
      <c r="AH5" s="106" t="s">
        <v>73</v>
      </c>
      <c r="AP5" s="340">
        <v>103</v>
      </c>
      <c r="AQ5" s="341" t="s">
        <v>597</v>
      </c>
      <c r="AS5" s="345">
        <v>1013</v>
      </c>
      <c r="AT5" s="346" t="s">
        <v>451</v>
      </c>
    </row>
    <row r="6" spans="2:46" ht="20.100000000000001" customHeight="1" thickBot="1">
      <c r="B6" s="113" t="s">
        <v>86</v>
      </c>
      <c r="C6" s="114" t="s">
        <v>87</v>
      </c>
      <c r="D6" s="115" t="s">
        <v>88</v>
      </c>
      <c r="E6" s="115" t="s">
        <v>89</v>
      </c>
      <c r="F6" s="114" t="s">
        <v>431</v>
      </c>
      <c r="G6" s="94" t="s">
        <v>436</v>
      </c>
      <c r="H6" s="78">
        <v>1</v>
      </c>
      <c r="J6" s="96" t="s">
        <v>91</v>
      </c>
      <c r="K6" s="97" t="s">
        <v>91</v>
      </c>
      <c r="L6" s="98" t="s">
        <v>92</v>
      </c>
      <c r="M6" s="97" t="s">
        <v>93</v>
      </c>
      <c r="N6" s="99" t="str">
        <f t="shared" si="0"/>
        <v>11</v>
      </c>
      <c r="O6" s="98">
        <v>60</v>
      </c>
      <c r="Q6" s="116" t="s">
        <v>441</v>
      </c>
      <c r="R6" s="101"/>
      <c r="S6" s="101">
        <v>101</v>
      </c>
      <c r="T6" s="101">
        <v>1011</v>
      </c>
      <c r="U6" s="102">
        <v>101101</v>
      </c>
      <c r="Y6" s="274" t="s">
        <v>90</v>
      </c>
      <c r="Z6" s="322" t="s">
        <v>94</v>
      </c>
      <c r="AA6" s="323">
        <v>0</v>
      </c>
      <c r="AC6" s="110"/>
      <c r="AD6" s="111" t="s">
        <v>555</v>
      </c>
      <c r="AE6" s="111" t="s">
        <v>84</v>
      </c>
      <c r="AF6" s="111" t="s">
        <v>10</v>
      </c>
      <c r="AG6" s="111" t="s">
        <v>54</v>
      </c>
      <c r="AH6" s="112" t="s">
        <v>85</v>
      </c>
      <c r="AP6" s="340">
        <v>104</v>
      </c>
      <c r="AQ6" s="341" t="s">
        <v>598</v>
      </c>
      <c r="AS6" s="345">
        <v>1014</v>
      </c>
      <c r="AT6" s="346" t="s">
        <v>455</v>
      </c>
    </row>
    <row r="7" spans="2:46" ht="20.100000000000001" customHeight="1" thickTop="1" thickBot="1">
      <c r="B7" s="93"/>
      <c r="C7" s="94"/>
      <c r="D7" s="94"/>
      <c r="E7" s="94"/>
      <c r="F7" s="98"/>
      <c r="G7" s="118" t="s">
        <v>95</v>
      </c>
      <c r="H7" s="78">
        <v>4</v>
      </c>
      <c r="J7" s="96" t="s">
        <v>96</v>
      </c>
      <c r="K7" s="97" t="s">
        <v>97</v>
      </c>
      <c r="L7" s="98" t="s">
        <v>98</v>
      </c>
      <c r="M7" s="97" t="s">
        <v>99</v>
      </c>
      <c r="N7" s="99" t="str">
        <f t="shared" si="0"/>
        <v>61</v>
      </c>
      <c r="O7" s="98">
        <v>41</v>
      </c>
      <c r="Q7" s="116" t="s">
        <v>442</v>
      </c>
      <c r="R7" s="101"/>
      <c r="S7" s="101">
        <v>101</v>
      </c>
      <c r="T7" s="101">
        <v>1011</v>
      </c>
      <c r="U7" s="102">
        <v>101102</v>
      </c>
      <c r="AP7" s="340">
        <v>105</v>
      </c>
      <c r="AQ7" s="341" t="s">
        <v>599</v>
      </c>
      <c r="AS7" s="345">
        <v>1015</v>
      </c>
      <c r="AT7" s="346" t="s">
        <v>461</v>
      </c>
    </row>
    <row r="8" spans="2:46" ht="20.100000000000001" customHeight="1" thickTop="1" thickBot="1">
      <c r="B8" s="119"/>
      <c r="C8" s="120"/>
      <c r="D8" s="120"/>
      <c r="E8" s="120"/>
      <c r="F8" s="117"/>
      <c r="G8" s="121" t="s">
        <v>100</v>
      </c>
      <c r="H8" s="122">
        <v>3</v>
      </c>
      <c r="J8" s="96" t="s">
        <v>101</v>
      </c>
      <c r="K8" s="97" t="s">
        <v>102</v>
      </c>
      <c r="L8" s="98" t="s">
        <v>103</v>
      </c>
      <c r="M8" s="97" t="s">
        <v>104</v>
      </c>
      <c r="N8" s="99" t="str">
        <f t="shared" si="0"/>
        <v>62</v>
      </c>
      <c r="O8" s="98">
        <v>42</v>
      </c>
      <c r="Q8" s="116" t="s">
        <v>443</v>
      </c>
      <c r="R8" s="101"/>
      <c r="S8" s="101">
        <v>101</v>
      </c>
      <c r="T8" s="101">
        <v>1011</v>
      </c>
      <c r="U8" s="102">
        <v>101103</v>
      </c>
      <c r="AC8" s="363" t="s">
        <v>105</v>
      </c>
      <c r="AD8" s="607" t="s">
        <v>106</v>
      </c>
      <c r="AE8" s="608"/>
      <c r="AF8" s="608"/>
      <c r="AG8" s="608"/>
      <c r="AH8" s="608"/>
      <c r="AI8" s="608"/>
      <c r="AJ8" s="609"/>
      <c r="AK8" s="365" t="s">
        <v>107</v>
      </c>
      <c r="AL8" s="365" t="s">
        <v>108</v>
      </c>
      <c r="AM8" s="365" t="s">
        <v>109</v>
      </c>
      <c r="AN8" s="366" t="s">
        <v>110</v>
      </c>
      <c r="AP8" s="340">
        <v>106</v>
      </c>
      <c r="AQ8" s="341" t="s">
        <v>498</v>
      </c>
      <c r="AS8" s="345">
        <v>1016</v>
      </c>
      <c r="AT8" s="346" t="s">
        <v>463</v>
      </c>
    </row>
    <row r="9" spans="2:46" ht="20.100000000000001" customHeight="1" thickTop="1" thickBot="1">
      <c r="G9" s="68" t="s">
        <v>437</v>
      </c>
      <c r="J9" s="96" t="s">
        <v>111</v>
      </c>
      <c r="K9" s="97" t="s">
        <v>111</v>
      </c>
      <c r="L9" s="98" t="s">
        <v>112</v>
      </c>
      <c r="M9" s="97" t="s">
        <v>113</v>
      </c>
      <c r="N9" s="99" t="str">
        <f t="shared" si="0"/>
        <v>12</v>
      </c>
      <c r="O9" s="98">
        <v>71</v>
      </c>
      <c r="Q9" s="116" t="s">
        <v>444</v>
      </c>
      <c r="R9" s="101"/>
      <c r="S9" s="101">
        <v>101</v>
      </c>
      <c r="T9" s="101">
        <v>1011</v>
      </c>
      <c r="U9" s="102">
        <v>101104</v>
      </c>
      <c r="AC9" s="278" t="s">
        <v>11</v>
      </c>
      <c r="AD9" s="610" t="s">
        <v>278</v>
      </c>
      <c r="AE9" s="611"/>
      <c r="AF9" s="611"/>
      <c r="AG9" s="611"/>
      <c r="AH9" s="611"/>
      <c r="AI9" s="611"/>
      <c r="AJ9" s="612"/>
      <c r="AK9" s="123" t="s">
        <v>10</v>
      </c>
      <c r="AL9" s="124" t="s">
        <v>58</v>
      </c>
      <c r="AM9" s="124" t="s">
        <v>59</v>
      </c>
      <c r="AN9" s="125" t="str">
        <f>IF(OR(AK9=AC6,AK9=AC5),"NA",IF(AND(AK9=AC4,AL9=AG4,AM9=AH4),"E",IF(AND(AK9=AC4,OR(AND(AL9=AG5,AM9=AH4),AND(AL9=AG5,AM9=AH5),AND(AL9=AG4,AM9=AH5),AND(AL9=AG6,AM9=AH4),AND(AL9=AG6,AM9=AH5))),"I","NA")))</f>
        <v>NA</v>
      </c>
      <c r="AP9" s="340">
        <v>107</v>
      </c>
      <c r="AQ9" s="341" t="s">
        <v>600</v>
      </c>
      <c r="AS9" s="345">
        <v>1021</v>
      </c>
      <c r="AT9" s="346" t="s">
        <v>465</v>
      </c>
    </row>
    <row r="10" spans="2:46" ht="20.100000000000001" customHeight="1" thickTop="1">
      <c r="B10" s="598" t="s">
        <v>114</v>
      </c>
      <c r="C10" s="603" t="s">
        <v>19</v>
      </c>
      <c r="D10" s="600" t="s">
        <v>115</v>
      </c>
      <c r="E10" s="601"/>
      <c r="F10" s="602"/>
      <c r="G10" s="605" t="s">
        <v>116</v>
      </c>
      <c r="J10" s="96" t="s">
        <v>117</v>
      </c>
      <c r="K10" s="97" t="s">
        <v>117</v>
      </c>
      <c r="L10" s="98" t="s">
        <v>118</v>
      </c>
      <c r="M10" s="97" t="s">
        <v>119</v>
      </c>
      <c r="N10" s="99" t="str">
        <f t="shared" si="0"/>
        <v>72</v>
      </c>
      <c r="O10" s="98">
        <v>50</v>
      </c>
      <c r="Q10" s="116" t="s">
        <v>445</v>
      </c>
      <c r="R10" s="101"/>
      <c r="S10" s="101">
        <v>101</v>
      </c>
      <c r="T10" s="101">
        <v>1011</v>
      </c>
      <c r="U10" s="102">
        <v>101105</v>
      </c>
      <c r="AC10" s="279" t="s">
        <v>12</v>
      </c>
      <c r="AD10" s="613" t="s">
        <v>279</v>
      </c>
      <c r="AE10" s="614"/>
      <c r="AF10" s="614"/>
      <c r="AG10" s="614"/>
      <c r="AH10" s="614"/>
      <c r="AI10" s="614"/>
      <c r="AJ10" s="615"/>
      <c r="AK10" s="126" t="s">
        <v>55</v>
      </c>
      <c r="AL10" s="127" t="s">
        <v>58</v>
      </c>
      <c r="AM10" s="127" t="s">
        <v>59</v>
      </c>
      <c r="AN10" s="128" t="str">
        <f>IF(OR(AND(AK10=AD4,AL10=AG4,AM10=AH4),AND(AK10=AD5,AL10=AG4,AM10=AH4)),"E",IF(OR(AND(AK10=AD5,OR(AND(AL10=AG5,AM10=AH4),AND(AL10=AG5,AM10=AH5),AND(AL10=AG4,AM10=AH5))),AND(AK10=AD4,OR(AND(AL10=AG5,AM10=AH4),AND(AL10=AG5,AM10=AH5),AND(AL10=AG4,AM10=AH5)))),"I","NA"))</f>
        <v>NA</v>
      </c>
      <c r="AP10" s="340">
        <v>108</v>
      </c>
      <c r="AQ10" s="341" t="s">
        <v>601</v>
      </c>
      <c r="AS10" s="345">
        <v>1022</v>
      </c>
      <c r="AT10" s="346" t="s">
        <v>473</v>
      </c>
    </row>
    <row r="11" spans="2:46" ht="20.100000000000001" customHeight="1" thickBot="1">
      <c r="B11" s="599"/>
      <c r="C11" s="604"/>
      <c r="D11" s="383" t="s">
        <v>120</v>
      </c>
      <c r="E11" s="383" t="s">
        <v>121</v>
      </c>
      <c r="F11" s="383" t="s">
        <v>122</v>
      </c>
      <c r="G11" s="606"/>
      <c r="J11" s="96" t="s">
        <v>123</v>
      </c>
      <c r="K11" s="97" t="s">
        <v>123</v>
      </c>
      <c r="L11" s="98" t="s">
        <v>124</v>
      </c>
      <c r="M11" s="97" t="s">
        <v>125</v>
      </c>
      <c r="N11" s="99" t="str">
        <f t="shared" si="0"/>
        <v>21</v>
      </c>
      <c r="O11" s="98">
        <v>81</v>
      </c>
      <c r="Q11" s="116" t="s">
        <v>446</v>
      </c>
      <c r="R11" s="101"/>
      <c r="S11" s="101">
        <v>101</v>
      </c>
      <c r="T11" s="101">
        <v>1011</v>
      </c>
      <c r="U11" s="102">
        <v>101106</v>
      </c>
      <c r="W11" s="68" t="s">
        <v>126</v>
      </c>
      <c r="AC11" s="279" t="s">
        <v>13</v>
      </c>
      <c r="AD11" s="613" t="s">
        <v>280</v>
      </c>
      <c r="AE11" s="614"/>
      <c r="AF11" s="614"/>
      <c r="AG11" s="614"/>
      <c r="AH11" s="614"/>
      <c r="AI11" s="614"/>
      <c r="AJ11" s="615"/>
      <c r="AK11" s="126" t="s">
        <v>55</v>
      </c>
      <c r="AL11" s="127" t="s">
        <v>58</v>
      </c>
      <c r="AM11" s="127" t="s">
        <v>59</v>
      </c>
      <c r="AN11" s="129" t="str">
        <f>IF(OR(AND(AK11=AD4,AL11=AG4,AM11=AH4),AND(AK11=AD5,AL11=AG4,AM11=AH4)),"E",IF(OR(AND(AK11=AD5,OR(AND(AL11=AG5,AM11=AH4),AND(AL11=AG5,AM11=AH5),AND(AL11=AG4,AM11=AH5))),AND(AK11=AD4,OR(AND(AL11=AG5,AM11=AH4),AND(AL11=AG5,AM11=AH5),AND(AL11=AG4,AM11=AH5)))),"I","NA"))</f>
        <v>NA</v>
      </c>
      <c r="AP11" s="340">
        <v>109</v>
      </c>
      <c r="AQ11" s="341" t="s">
        <v>602</v>
      </c>
      <c r="AS11" s="345">
        <v>1023</v>
      </c>
      <c r="AT11" s="346" t="s">
        <v>476</v>
      </c>
    </row>
    <row r="12" spans="2:46" ht="20.100000000000001" customHeight="1" thickTop="1" thickBot="1">
      <c r="B12" s="130" t="s">
        <v>127</v>
      </c>
      <c r="C12" s="131" t="s">
        <v>128</v>
      </c>
      <c r="D12" s="132">
        <v>9</v>
      </c>
      <c r="E12" s="133">
        <v>2000000</v>
      </c>
      <c r="F12" s="133">
        <v>2000000</v>
      </c>
      <c r="G12" s="134" t="s">
        <v>129</v>
      </c>
      <c r="J12" s="135" t="s">
        <v>130</v>
      </c>
      <c r="K12" s="136" t="s">
        <v>130</v>
      </c>
      <c r="L12" s="137" t="s">
        <v>131</v>
      </c>
      <c r="M12" s="136" t="s">
        <v>132</v>
      </c>
      <c r="N12" s="138" t="str">
        <f t="shared" ref="N12:N43" si="1">MID(M12,4,2)</f>
        <v>22</v>
      </c>
      <c r="O12" s="137">
        <v>12</v>
      </c>
      <c r="Q12" s="116" t="s">
        <v>447</v>
      </c>
      <c r="R12" s="101"/>
      <c r="S12" s="101">
        <v>101</v>
      </c>
      <c r="T12" s="101">
        <v>1011</v>
      </c>
      <c r="U12" s="102">
        <v>101107</v>
      </c>
      <c r="AC12" s="280" t="s">
        <v>14</v>
      </c>
      <c r="AD12" s="616" t="s">
        <v>281</v>
      </c>
      <c r="AE12" s="617"/>
      <c r="AF12" s="617"/>
      <c r="AG12" s="617"/>
      <c r="AH12" s="617"/>
      <c r="AI12" s="617"/>
      <c r="AJ12" s="618"/>
      <c r="AK12" s="139" t="s">
        <v>57</v>
      </c>
      <c r="AL12" s="140" t="s">
        <v>54</v>
      </c>
      <c r="AM12" s="140" t="s">
        <v>59</v>
      </c>
      <c r="AN12" s="141" t="str">
        <f>IF(OR(AND(AK12=AF4,AL12=AG4,AM12=AH4),AND(AK12=AF5,AL12=AG4,AM12=AH4)),"E",IF(OR(AND(AK12=AF5,OR(AND(AL12=AG5,AM12=AH4),AND(AL12=AG5,AM12=AH5),AND(AL12=AG4,AM12=AH5))),AND(AK12=AF4,OR(AND(AL12=AG5,AM12=AH4),AND(AL12=AG5,AM12=AH5),AND(AL12=AG4,AM12=AH5)))),"I",IF(AND(AK12=AF4,AL12=AG6,OR(AM12=AH4,AM12=AH5)),"I","NA")))</f>
        <v>I</v>
      </c>
      <c r="AP12" s="340">
        <v>110</v>
      </c>
      <c r="AQ12" s="341" t="s">
        <v>603</v>
      </c>
      <c r="AS12" s="345">
        <v>1024</v>
      </c>
      <c r="AT12" s="346" t="s">
        <v>480</v>
      </c>
    </row>
    <row r="13" spans="2:46" ht="20.100000000000001" customHeight="1" thickTop="1" thickBot="1">
      <c r="B13" s="142" t="s">
        <v>127</v>
      </c>
      <c r="C13" s="143" t="s">
        <v>133</v>
      </c>
      <c r="D13" s="144">
        <v>50</v>
      </c>
      <c r="E13" s="145">
        <v>10000000</v>
      </c>
      <c r="F13" s="145">
        <v>10000000</v>
      </c>
      <c r="G13" s="146" t="s">
        <v>134</v>
      </c>
      <c r="J13" s="96" t="s">
        <v>135</v>
      </c>
      <c r="K13" s="97" t="s">
        <v>135</v>
      </c>
      <c r="L13" s="98" t="s">
        <v>136</v>
      </c>
      <c r="M13" s="97" t="s">
        <v>137</v>
      </c>
      <c r="N13" s="99" t="str">
        <f t="shared" si="1"/>
        <v>52</v>
      </c>
      <c r="O13" s="98">
        <v>32</v>
      </c>
      <c r="Q13" s="116" t="s">
        <v>448</v>
      </c>
      <c r="R13" s="101"/>
      <c r="S13" s="101">
        <v>101</v>
      </c>
      <c r="T13" s="101">
        <v>1011</v>
      </c>
      <c r="U13" s="102">
        <v>101108</v>
      </c>
      <c r="AP13" s="342">
        <v>111</v>
      </c>
      <c r="AQ13" s="343" t="s">
        <v>604</v>
      </c>
      <c r="AS13" s="345">
        <v>1025</v>
      </c>
      <c r="AT13" s="347" t="s">
        <v>548</v>
      </c>
    </row>
    <row r="14" spans="2:46" ht="20.100000000000001" customHeight="1">
      <c r="B14" s="147" t="s">
        <v>54</v>
      </c>
      <c r="C14" s="148" t="s">
        <v>428</v>
      </c>
      <c r="D14" s="148">
        <v>50</v>
      </c>
      <c r="E14" s="149">
        <v>10000000</v>
      </c>
      <c r="F14" s="149">
        <v>10000000</v>
      </c>
      <c r="G14" s="150" t="s">
        <v>46</v>
      </c>
      <c r="J14" s="96" t="s">
        <v>138</v>
      </c>
      <c r="K14" s="97" t="s">
        <v>138</v>
      </c>
      <c r="L14" s="98" t="s">
        <v>139</v>
      </c>
      <c r="M14" s="97" t="s">
        <v>140</v>
      </c>
      <c r="N14" s="99" t="str">
        <f t="shared" si="1"/>
        <v>32</v>
      </c>
      <c r="O14" s="98">
        <v>91</v>
      </c>
      <c r="Q14" s="100" t="s">
        <v>449</v>
      </c>
      <c r="R14" s="101"/>
      <c r="S14" s="101">
        <v>101</v>
      </c>
      <c r="T14" s="101">
        <v>1012</v>
      </c>
      <c r="U14" s="102"/>
      <c r="AP14" s="348">
        <v>201</v>
      </c>
      <c r="AQ14" s="349" t="s">
        <v>605</v>
      </c>
      <c r="AS14" s="354">
        <v>2051</v>
      </c>
      <c r="AT14" s="355" t="s">
        <v>529</v>
      </c>
    </row>
    <row r="15" spans="2:46" ht="20.100000000000001" customHeight="1">
      <c r="B15" s="151" t="s">
        <v>70</v>
      </c>
      <c r="C15" s="152" t="s">
        <v>429</v>
      </c>
      <c r="D15" s="152">
        <v>249</v>
      </c>
      <c r="E15" s="153">
        <v>50000000</v>
      </c>
      <c r="F15" s="153">
        <v>43000000</v>
      </c>
      <c r="G15" s="154" t="s">
        <v>64</v>
      </c>
      <c r="J15" s="96" t="s">
        <v>141</v>
      </c>
      <c r="K15" s="97" t="s">
        <v>142</v>
      </c>
      <c r="L15" s="98" t="s">
        <v>143</v>
      </c>
      <c r="M15" s="97" t="s">
        <v>144</v>
      </c>
      <c r="N15" s="99" t="str">
        <f t="shared" si="1"/>
        <v>63</v>
      </c>
      <c r="O15" s="98">
        <v>40</v>
      </c>
      <c r="Q15" s="116" t="s">
        <v>450</v>
      </c>
      <c r="R15" s="101"/>
      <c r="S15" s="101">
        <v>101</v>
      </c>
      <c r="T15" s="101">
        <v>1012</v>
      </c>
      <c r="U15" s="102">
        <v>101201</v>
      </c>
      <c r="AP15" s="350">
        <v>202</v>
      </c>
      <c r="AQ15" s="351" t="s">
        <v>606</v>
      </c>
      <c r="AS15" s="356">
        <v>2052</v>
      </c>
      <c r="AT15" s="357" t="s">
        <v>531</v>
      </c>
    </row>
    <row r="16" spans="2:46" ht="20.100000000000001" customHeight="1" thickBot="1">
      <c r="B16" s="155" t="s">
        <v>58</v>
      </c>
      <c r="C16" s="156" t="s">
        <v>430</v>
      </c>
      <c r="D16" s="156">
        <v>250</v>
      </c>
      <c r="E16" s="157">
        <v>50000000</v>
      </c>
      <c r="F16" s="157">
        <v>43000000</v>
      </c>
      <c r="G16" s="158" t="s">
        <v>78</v>
      </c>
      <c r="J16" s="96" t="s">
        <v>145</v>
      </c>
      <c r="K16" s="97" t="s">
        <v>145</v>
      </c>
      <c r="L16" s="98" t="s">
        <v>146</v>
      </c>
      <c r="M16" s="97" t="s">
        <v>147</v>
      </c>
      <c r="N16" s="99" t="str">
        <f t="shared" si="1"/>
        <v>23</v>
      </c>
      <c r="O16" s="98">
        <v>90</v>
      </c>
      <c r="Q16" s="100" t="s">
        <v>451</v>
      </c>
      <c r="R16" s="101"/>
      <c r="S16" s="101">
        <v>101</v>
      </c>
      <c r="T16" s="101">
        <v>1013</v>
      </c>
      <c r="U16" s="102"/>
      <c r="AP16" s="350">
        <v>203</v>
      </c>
      <c r="AQ16" s="351" t="s">
        <v>607</v>
      </c>
      <c r="AS16" s="356">
        <v>2053</v>
      </c>
      <c r="AT16" s="357" t="s">
        <v>533</v>
      </c>
    </row>
    <row r="17" spans="2:46" ht="20.100000000000001" customHeight="1" thickTop="1">
      <c r="C17" s="68" t="s">
        <v>382</v>
      </c>
      <c r="J17" s="96" t="s">
        <v>148</v>
      </c>
      <c r="K17" s="97" t="s">
        <v>149</v>
      </c>
      <c r="L17" s="98" t="s">
        <v>150</v>
      </c>
      <c r="M17" s="97" t="s">
        <v>151</v>
      </c>
      <c r="N17" s="99" t="str">
        <f t="shared" si="1"/>
        <v>73</v>
      </c>
      <c r="O17" s="98">
        <v>52</v>
      </c>
      <c r="Q17" s="116" t="s">
        <v>452</v>
      </c>
      <c r="R17" s="101"/>
      <c r="S17" s="101">
        <v>101</v>
      </c>
      <c r="T17" s="101">
        <v>1013</v>
      </c>
      <c r="U17" s="102">
        <v>101301</v>
      </c>
      <c r="AP17" s="350">
        <v>204</v>
      </c>
      <c r="AQ17" s="351" t="s">
        <v>608</v>
      </c>
      <c r="AS17" s="356">
        <v>2054</v>
      </c>
      <c r="AT17" s="357" t="s">
        <v>610</v>
      </c>
    </row>
    <row r="18" spans="2:46" ht="20.100000000000001" customHeight="1">
      <c r="B18" s="384" t="s">
        <v>152</v>
      </c>
      <c r="J18" s="96" t="s">
        <v>153</v>
      </c>
      <c r="K18" s="97" t="s">
        <v>154</v>
      </c>
      <c r="L18" s="98" t="s">
        <v>155</v>
      </c>
      <c r="M18" s="97" t="s">
        <v>156</v>
      </c>
      <c r="N18" s="99" t="str">
        <f t="shared" si="1"/>
        <v>33</v>
      </c>
      <c r="O18" s="98">
        <v>13</v>
      </c>
      <c r="Q18" s="116" t="s">
        <v>453</v>
      </c>
      <c r="R18" s="101"/>
      <c r="S18" s="101">
        <v>101</v>
      </c>
      <c r="T18" s="101">
        <v>1013</v>
      </c>
      <c r="U18" s="102">
        <v>101302</v>
      </c>
      <c r="AP18" s="350">
        <v>205</v>
      </c>
      <c r="AQ18" s="351" t="s">
        <v>609</v>
      </c>
      <c r="AS18" s="356">
        <v>2055</v>
      </c>
      <c r="AT18" s="357" t="s">
        <v>537</v>
      </c>
    </row>
    <row r="19" spans="2:46" ht="20.100000000000001" customHeight="1" thickBot="1">
      <c r="B19" s="281" t="s">
        <v>5</v>
      </c>
      <c r="J19" s="96" t="s">
        <v>157</v>
      </c>
      <c r="K19" s="97" t="s">
        <v>158</v>
      </c>
      <c r="L19" s="98" t="s">
        <v>159</v>
      </c>
      <c r="M19" s="97" t="s">
        <v>160</v>
      </c>
      <c r="N19" s="99" t="str">
        <f t="shared" si="1"/>
        <v>41</v>
      </c>
      <c r="O19" s="98">
        <v>20</v>
      </c>
      <c r="Q19" s="116" t="s">
        <v>454</v>
      </c>
      <c r="R19" s="101"/>
      <c r="S19" s="101">
        <v>101</v>
      </c>
      <c r="T19" s="101">
        <v>1013</v>
      </c>
      <c r="U19" s="102">
        <v>101303</v>
      </c>
      <c r="AP19" s="350">
        <v>206</v>
      </c>
      <c r="AQ19" s="351" t="s">
        <v>611</v>
      </c>
      <c r="AS19" s="358">
        <v>2056</v>
      </c>
      <c r="AT19" s="359" t="s">
        <v>539</v>
      </c>
    </row>
    <row r="20" spans="2:46" ht="20.100000000000001" customHeight="1" thickTop="1" thickBot="1">
      <c r="B20" s="281" t="s">
        <v>161</v>
      </c>
      <c r="J20" s="96" t="s">
        <v>162</v>
      </c>
      <c r="K20" s="97" t="s">
        <v>162</v>
      </c>
      <c r="L20" s="98" t="s">
        <v>163</v>
      </c>
      <c r="M20" s="97" t="s">
        <v>164</v>
      </c>
      <c r="N20" s="99" t="str">
        <f t="shared" si="1"/>
        <v>24</v>
      </c>
      <c r="O20" s="98">
        <v>80</v>
      </c>
      <c r="Q20" s="100" t="s">
        <v>455</v>
      </c>
      <c r="R20" s="101"/>
      <c r="S20" s="101">
        <v>101</v>
      </c>
      <c r="T20" s="101">
        <v>1014</v>
      </c>
      <c r="U20" s="102"/>
      <c r="AP20" s="352">
        <v>207</v>
      </c>
      <c r="AQ20" s="353" t="s">
        <v>612</v>
      </c>
    </row>
    <row r="21" spans="2:46" ht="20.100000000000001" customHeight="1" thickTop="1">
      <c r="B21" s="281" t="s">
        <v>165</v>
      </c>
      <c r="J21" s="96" t="s">
        <v>166</v>
      </c>
      <c r="K21" s="97" t="s">
        <v>166</v>
      </c>
      <c r="L21" s="98" t="s">
        <v>167</v>
      </c>
      <c r="M21" s="97" t="s">
        <v>168</v>
      </c>
      <c r="N21" s="99" t="str">
        <f t="shared" si="1"/>
        <v>34</v>
      </c>
      <c r="O21" s="98">
        <v>8</v>
      </c>
      <c r="Q21" s="116" t="s">
        <v>459</v>
      </c>
      <c r="R21" s="101"/>
      <c r="S21" s="101">
        <v>101</v>
      </c>
      <c r="T21" s="101">
        <v>1014</v>
      </c>
      <c r="U21" s="102">
        <v>101401</v>
      </c>
    </row>
    <row r="22" spans="2:46" ht="20.100000000000001" customHeight="1">
      <c r="J22" s="96" t="s">
        <v>169</v>
      </c>
      <c r="K22" s="97" t="s">
        <v>170</v>
      </c>
      <c r="L22" s="98" t="s">
        <v>171</v>
      </c>
      <c r="M22" s="97" t="s">
        <v>172</v>
      </c>
      <c r="N22" s="99" t="str">
        <f t="shared" si="1"/>
        <v>42</v>
      </c>
      <c r="O22" s="98">
        <v>21</v>
      </c>
      <c r="Q22" s="116" t="s">
        <v>442</v>
      </c>
      <c r="R22" s="101"/>
      <c r="S22" s="101">
        <v>101</v>
      </c>
      <c r="T22" s="101">
        <v>1014</v>
      </c>
      <c r="U22" s="102">
        <v>101402</v>
      </c>
      <c r="AO22" s="73"/>
    </row>
    <row r="23" spans="2:46" ht="20.100000000000001" customHeight="1">
      <c r="J23" s="96" t="s">
        <v>173</v>
      </c>
      <c r="K23" s="97" t="s">
        <v>174</v>
      </c>
      <c r="L23" s="98" t="s">
        <v>175</v>
      </c>
      <c r="M23" s="97" t="s">
        <v>176</v>
      </c>
      <c r="N23" s="99" t="str">
        <f t="shared" si="1"/>
        <v>74</v>
      </c>
      <c r="O23" s="98">
        <v>53</v>
      </c>
      <c r="Q23" s="116" t="s">
        <v>443</v>
      </c>
      <c r="R23" s="101"/>
      <c r="S23" s="101">
        <v>101</v>
      </c>
      <c r="T23" s="101">
        <v>1014</v>
      </c>
      <c r="U23" s="102">
        <v>101403</v>
      </c>
      <c r="AO23" s="73"/>
    </row>
    <row r="24" spans="2:46" ht="20.100000000000001" customHeight="1">
      <c r="J24" s="96" t="s">
        <v>177</v>
      </c>
      <c r="K24" s="97" t="s">
        <v>178</v>
      </c>
      <c r="L24" s="98" t="s">
        <v>179</v>
      </c>
      <c r="M24" s="97" t="s">
        <v>180</v>
      </c>
      <c r="N24" s="99" t="str">
        <f t="shared" si="1"/>
        <v>53</v>
      </c>
      <c r="O24" s="98">
        <v>33</v>
      </c>
      <c r="Q24" s="116" t="s">
        <v>456</v>
      </c>
      <c r="R24" s="101"/>
      <c r="S24" s="101">
        <v>101</v>
      </c>
      <c r="T24" s="101">
        <v>1014</v>
      </c>
      <c r="U24" s="102">
        <v>101404</v>
      </c>
      <c r="AO24" s="73"/>
    </row>
    <row r="25" spans="2:46" ht="20.100000000000001" customHeight="1">
      <c r="J25" s="96" t="s">
        <v>181</v>
      </c>
      <c r="K25" s="97" t="s">
        <v>182</v>
      </c>
      <c r="L25" s="98" t="s">
        <v>183</v>
      </c>
      <c r="M25" s="97" t="s">
        <v>184</v>
      </c>
      <c r="N25" s="99" t="str">
        <f t="shared" si="1"/>
        <v>35</v>
      </c>
      <c r="O25" s="98">
        <v>92</v>
      </c>
      <c r="Q25" s="116" t="s">
        <v>457</v>
      </c>
      <c r="R25" s="101"/>
      <c r="S25" s="101">
        <v>101</v>
      </c>
      <c r="T25" s="101">
        <v>1014</v>
      </c>
      <c r="U25" s="102">
        <v>101405</v>
      </c>
      <c r="AO25" s="73"/>
    </row>
    <row r="26" spans="2:46" ht="20.100000000000001" customHeight="1">
      <c r="J26" s="96" t="s">
        <v>185</v>
      </c>
      <c r="K26" s="97" t="s">
        <v>185</v>
      </c>
      <c r="L26" s="98" t="s">
        <v>186</v>
      </c>
      <c r="M26" s="97" t="s">
        <v>187</v>
      </c>
      <c r="N26" s="99" t="str">
        <f t="shared" si="1"/>
        <v>13</v>
      </c>
      <c r="O26" s="98">
        <v>70</v>
      </c>
      <c r="Q26" s="116" t="s">
        <v>458</v>
      </c>
      <c r="R26" s="101"/>
      <c r="S26" s="101">
        <v>101</v>
      </c>
      <c r="T26" s="101">
        <v>1014</v>
      </c>
      <c r="U26" s="102">
        <v>101406</v>
      </c>
      <c r="AO26" s="73"/>
    </row>
    <row r="27" spans="2:46" ht="20.100000000000001" customHeight="1">
      <c r="J27" s="96" t="s">
        <v>188</v>
      </c>
      <c r="K27" s="97" t="s">
        <v>189</v>
      </c>
      <c r="L27" s="98" t="s">
        <v>190</v>
      </c>
      <c r="M27" s="97" t="s">
        <v>191</v>
      </c>
      <c r="N27" s="99" t="str">
        <f t="shared" si="1"/>
        <v>82</v>
      </c>
      <c r="O27" s="98">
        <v>7</v>
      </c>
      <c r="Q27" s="116" t="s">
        <v>460</v>
      </c>
      <c r="R27" s="101"/>
      <c r="S27" s="101">
        <v>101</v>
      </c>
      <c r="T27" s="101">
        <v>1014</v>
      </c>
      <c r="U27" s="102">
        <v>101407</v>
      </c>
      <c r="AO27" s="73"/>
    </row>
    <row r="28" spans="2:46" ht="20.100000000000001" customHeight="1">
      <c r="J28" s="96" t="s">
        <v>192</v>
      </c>
      <c r="K28" s="97" t="s">
        <v>193</v>
      </c>
      <c r="L28" s="98" t="s">
        <v>194</v>
      </c>
      <c r="M28" s="97" t="s">
        <v>195</v>
      </c>
      <c r="N28" s="99" t="str">
        <f t="shared" si="1"/>
        <v>64</v>
      </c>
      <c r="O28" s="98">
        <v>43</v>
      </c>
      <c r="Q28" s="100" t="s">
        <v>461</v>
      </c>
      <c r="R28" s="101"/>
      <c r="S28" s="101">
        <v>101</v>
      </c>
      <c r="T28" s="101">
        <v>1015</v>
      </c>
      <c r="U28" s="102"/>
      <c r="AO28" s="73"/>
    </row>
    <row r="29" spans="2:46" ht="20.100000000000001" customHeight="1">
      <c r="J29" s="96" t="s">
        <v>196</v>
      </c>
      <c r="K29" s="97" t="s">
        <v>197</v>
      </c>
      <c r="L29" s="98" t="s">
        <v>198</v>
      </c>
      <c r="M29" s="97" t="s">
        <v>199</v>
      </c>
      <c r="N29" s="99" t="str">
        <f t="shared" si="1"/>
        <v>43</v>
      </c>
      <c r="O29" s="98">
        <v>22</v>
      </c>
      <c r="Q29" s="116" t="s">
        <v>462</v>
      </c>
      <c r="R29" s="101"/>
      <c r="S29" s="101">
        <v>101</v>
      </c>
      <c r="T29" s="101">
        <v>1015</v>
      </c>
      <c r="U29" s="102">
        <v>101501</v>
      </c>
      <c r="AO29" s="73"/>
    </row>
    <row r="30" spans="2:46" ht="20.100000000000001" customHeight="1">
      <c r="J30" s="96" t="s">
        <v>200</v>
      </c>
      <c r="K30" s="97" t="s">
        <v>201</v>
      </c>
      <c r="L30" s="98" t="s">
        <v>202</v>
      </c>
      <c r="M30" s="97" t="s">
        <v>203</v>
      </c>
      <c r="N30" s="99" t="str">
        <f t="shared" si="1"/>
        <v>75</v>
      </c>
      <c r="O30" s="98">
        <v>54</v>
      </c>
      <c r="Q30" s="100" t="s">
        <v>463</v>
      </c>
      <c r="R30" s="101"/>
      <c r="S30" s="101">
        <v>101</v>
      </c>
      <c r="T30" s="101">
        <v>1016</v>
      </c>
      <c r="U30" s="102"/>
      <c r="AO30" s="73"/>
    </row>
    <row r="31" spans="2:46" ht="20.100000000000001" customHeight="1">
      <c r="J31" s="96" t="s">
        <v>204</v>
      </c>
      <c r="K31" s="97" t="s">
        <v>205</v>
      </c>
      <c r="L31" s="98" t="s">
        <v>206</v>
      </c>
      <c r="M31" s="97" t="s">
        <v>207</v>
      </c>
      <c r="N31" s="99" t="str">
        <f t="shared" si="1"/>
        <v>14</v>
      </c>
      <c r="O31" s="98">
        <v>61</v>
      </c>
      <c r="Q31" s="116" t="s">
        <v>464</v>
      </c>
      <c r="R31" s="101"/>
      <c r="S31" s="101">
        <v>101</v>
      </c>
      <c r="T31" s="101">
        <v>1016</v>
      </c>
      <c r="U31" s="102">
        <v>101601</v>
      </c>
      <c r="AO31" s="73"/>
    </row>
    <row r="32" spans="2:46" ht="20.100000000000001" customHeight="1">
      <c r="J32" s="96" t="s">
        <v>208</v>
      </c>
      <c r="K32" s="97" t="s">
        <v>209</v>
      </c>
      <c r="L32" s="98" t="s">
        <v>210</v>
      </c>
      <c r="M32" s="97" t="s">
        <v>211</v>
      </c>
      <c r="N32" s="99" t="str">
        <f t="shared" si="1"/>
        <v>44</v>
      </c>
      <c r="O32" s="98">
        <v>23</v>
      </c>
      <c r="Q32" s="100" t="s">
        <v>6</v>
      </c>
      <c r="R32" s="101"/>
      <c r="S32" s="101">
        <v>102</v>
      </c>
      <c r="T32" s="101">
        <v>1016</v>
      </c>
      <c r="U32" s="102"/>
      <c r="AO32" s="73"/>
    </row>
    <row r="33" spans="10:41" ht="20.100000000000001" customHeight="1">
      <c r="J33" s="96" t="s">
        <v>212</v>
      </c>
      <c r="K33" s="97" t="s">
        <v>213</v>
      </c>
      <c r="L33" s="98" t="s">
        <v>214</v>
      </c>
      <c r="M33" s="97" t="s">
        <v>215</v>
      </c>
      <c r="N33" s="99" t="str">
        <f t="shared" si="1"/>
        <v>36</v>
      </c>
      <c r="O33" s="98">
        <v>10</v>
      </c>
      <c r="Q33" s="100" t="s">
        <v>465</v>
      </c>
      <c r="R33" s="101"/>
      <c r="S33" s="101">
        <v>102</v>
      </c>
      <c r="T33" s="101">
        <v>1021</v>
      </c>
      <c r="U33" s="102"/>
      <c r="AO33" s="73"/>
    </row>
    <row r="34" spans="10:41" ht="20.100000000000001" customHeight="1">
      <c r="J34" s="96" t="s">
        <v>216</v>
      </c>
      <c r="K34" s="97" t="s">
        <v>216</v>
      </c>
      <c r="L34" s="98" t="s">
        <v>217</v>
      </c>
      <c r="M34" s="97" t="s">
        <v>218</v>
      </c>
      <c r="N34" s="99" t="str">
        <f t="shared" si="1"/>
        <v>65</v>
      </c>
      <c r="O34" s="98">
        <v>44</v>
      </c>
      <c r="Q34" s="116" t="s">
        <v>466</v>
      </c>
      <c r="R34" s="101"/>
      <c r="S34" s="101">
        <v>102</v>
      </c>
      <c r="T34" s="101">
        <v>1021</v>
      </c>
      <c r="U34" s="102">
        <v>102101</v>
      </c>
    </row>
    <row r="35" spans="10:41" ht="20.100000000000001" customHeight="1">
      <c r="J35" s="96" t="s">
        <v>219</v>
      </c>
      <c r="K35" s="97" t="s">
        <v>220</v>
      </c>
      <c r="L35" s="98" t="s">
        <v>221</v>
      </c>
      <c r="M35" s="97" t="s">
        <v>222</v>
      </c>
      <c r="N35" s="99" t="str">
        <f t="shared" si="1"/>
        <v>66</v>
      </c>
      <c r="O35" s="98">
        <v>45</v>
      </c>
      <c r="Q35" s="116" t="s">
        <v>467</v>
      </c>
      <c r="R35" s="101"/>
      <c r="S35" s="101">
        <v>102</v>
      </c>
      <c r="T35" s="101">
        <v>1021</v>
      </c>
      <c r="U35" s="102">
        <v>102102</v>
      </c>
    </row>
    <row r="36" spans="10:41" ht="20.100000000000001" customHeight="1">
      <c r="J36" s="96" t="s">
        <v>223</v>
      </c>
      <c r="K36" s="97" t="s">
        <v>223</v>
      </c>
      <c r="L36" s="98" t="s">
        <v>224</v>
      </c>
      <c r="M36" s="97" t="s">
        <v>225</v>
      </c>
      <c r="N36" s="99" t="str">
        <f t="shared" si="1"/>
        <v>76</v>
      </c>
      <c r="O36" s="98">
        <v>55</v>
      </c>
      <c r="Q36" s="116" t="s">
        <v>468</v>
      </c>
      <c r="R36" s="101"/>
      <c r="S36" s="101">
        <v>102</v>
      </c>
      <c r="T36" s="101">
        <v>1021</v>
      </c>
      <c r="U36" s="102">
        <v>102103</v>
      </c>
    </row>
    <row r="37" spans="10:41" ht="20.100000000000001" customHeight="1">
      <c r="J37" s="96" t="s">
        <v>226</v>
      </c>
      <c r="K37" s="97" t="s">
        <v>226</v>
      </c>
      <c r="L37" s="98" t="s">
        <v>227</v>
      </c>
      <c r="M37" s="97" t="s">
        <v>228</v>
      </c>
      <c r="N37" s="99" t="str">
        <f t="shared" si="1"/>
        <v>15</v>
      </c>
      <c r="O37" s="98">
        <v>72</v>
      </c>
      <c r="Q37" s="116" t="s">
        <v>469</v>
      </c>
      <c r="R37" s="101"/>
      <c r="S37" s="101">
        <v>102</v>
      </c>
      <c r="T37" s="101">
        <v>1021</v>
      </c>
      <c r="U37" s="102">
        <v>102104</v>
      </c>
    </row>
    <row r="38" spans="10:41" ht="20.100000000000001" customHeight="1">
      <c r="J38" s="96" t="s">
        <v>229</v>
      </c>
      <c r="K38" s="97" t="s">
        <v>230</v>
      </c>
      <c r="L38" s="98" t="s">
        <v>231</v>
      </c>
      <c r="M38" s="97" t="s">
        <v>232</v>
      </c>
      <c r="N38" s="99" t="str">
        <f t="shared" si="1"/>
        <v>37</v>
      </c>
      <c r="O38" s="98">
        <v>17</v>
      </c>
      <c r="Q38" s="494" t="s">
        <v>470</v>
      </c>
      <c r="R38" s="101"/>
      <c r="S38" s="101">
        <v>102</v>
      </c>
      <c r="T38" s="101">
        <v>1021</v>
      </c>
      <c r="U38" s="102">
        <v>102105</v>
      </c>
    </row>
    <row r="39" spans="10:41" ht="20.100000000000001" customHeight="1">
      <c r="J39" s="96" t="s">
        <v>233</v>
      </c>
      <c r="K39" s="97" t="s">
        <v>234</v>
      </c>
      <c r="L39" s="98" t="s">
        <v>235</v>
      </c>
      <c r="M39" s="97" t="s">
        <v>236</v>
      </c>
      <c r="N39" s="99" t="str">
        <f t="shared" si="1"/>
        <v>54</v>
      </c>
      <c r="O39" s="98">
        <v>30</v>
      </c>
      <c r="Q39" s="116" t="s">
        <v>471</v>
      </c>
      <c r="R39" s="101"/>
      <c r="S39" s="101">
        <v>102</v>
      </c>
      <c r="T39" s="101">
        <v>1021</v>
      </c>
      <c r="U39" s="102">
        <v>102106</v>
      </c>
    </row>
    <row r="40" spans="10:41" ht="20.100000000000001" customHeight="1">
      <c r="J40" s="96" t="s">
        <v>237</v>
      </c>
      <c r="K40" s="97" t="s">
        <v>237</v>
      </c>
      <c r="L40" s="98" t="s">
        <v>238</v>
      </c>
      <c r="M40" s="97" t="s">
        <v>239</v>
      </c>
      <c r="N40" s="99" t="str">
        <f t="shared" si="1"/>
        <v>25</v>
      </c>
      <c r="O40" s="98">
        <v>82</v>
      </c>
      <c r="Q40" s="116" t="s">
        <v>472</v>
      </c>
      <c r="R40" s="101"/>
      <c r="S40" s="101">
        <v>102</v>
      </c>
      <c r="T40" s="101">
        <v>1021</v>
      </c>
      <c r="U40" s="102">
        <v>102107</v>
      </c>
    </row>
    <row r="41" spans="10:41" ht="20.100000000000001" customHeight="1">
      <c r="J41" s="96" t="s">
        <v>240</v>
      </c>
      <c r="K41" s="97" t="s">
        <v>240</v>
      </c>
      <c r="L41" s="98" t="s">
        <v>241</v>
      </c>
      <c r="M41" s="97" t="s">
        <v>242</v>
      </c>
      <c r="N41" s="99" t="str">
        <f t="shared" si="1"/>
        <v>16</v>
      </c>
      <c r="O41" s="98">
        <v>73</v>
      </c>
      <c r="Q41" s="100" t="s">
        <v>473</v>
      </c>
      <c r="R41" s="101"/>
      <c r="S41" s="101">
        <v>102</v>
      </c>
      <c r="T41" s="101">
        <v>1022</v>
      </c>
      <c r="U41" s="102"/>
    </row>
    <row r="42" spans="10:41" ht="20.100000000000001" customHeight="1">
      <c r="J42" s="96" t="s">
        <v>243</v>
      </c>
      <c r="K42" s="97" t="s">
        <v>244</v>
      </c>
      <c r="L42" s="98" t="s">
        <v>245</v>
      </c>
      <c r="M42" s="97" t="s">
        <v>246</v>
      </c>
      <c r="N42" s="99" t="str">
        <f t="shared" si="1"/>
        <v>45</v>
      </c>
      <c r="O42" s="98">
        <v>24</v>
      </c>
      <c r="Q42" s="116" t="s">
        <v>474</v>
      </c>
      <c r="R42" s="101"/>
      <c r="S42" s="101">
        <v>102</v>
      </c>
      <c r="T42" s="101">
        <v>1022</v>
      </c>
      <c r="U42" s="102">
        <v>102201</v>
      </c>
    </row>
    <row r="43" spans="10:41" ht="20.100000000000001" customHeight="1">
      <c r="J43" s="113" t="s">
        <v>247</v>
      </c>
      <c r="K43" s="159" t="s">
        <v>248</v>
      </c>
      <c r="L43" s="160" t="s">
        <v>249</v>
      </c>
      <c r="M43" s="159" t="s">
        <v>250</v>
      </c>
      <c r="N43" s="161" t="str">
        <f t="shared" si="1"/>
        <v>26</v>
      </c>
      <c r="O43" s="160">
        <v>62</v>
      </c>
      <c r="Q43" s="116" t="s">
        <v>475</v>
      </c>
      <c r="R43" s="101"/>
      <c r="S43" s="101">
        <v>102</v>
      </c>
      <c r="T43" s="101">
        <v>1022</v>
      </c>
      <c r="U43" s="102">
        <v>102202</v>
      </c>
    </row>
    <row r="44" spans="10:41" ht="20.100000000000001" customHeight="1" thickBot="1">
      <c r="J44" s="162" t="s">
        <v>580</v>
      </c>
      <c r="K44" s="163" t="s">
        <v>580</v>
      </c>
      <c r="L44" s="163" t="s">
        <v>251</v>
      </c>
      <c r="M44" s="163" t="s">
        <v>252</v>
      </c>
      <c r="N44" s="164" t="str">
        <f>MID(M44,4,2)</f>
        <v>81</v>
      </c>
      <c r="O44" s="165">
        <v>1</v>
      </c>
      <c r="Q44" s="100" t="s">
        <v>476</v>
      </c>
      <c r="R44" s="101"/>
      <c r="S44" s="101">
        <v>102</v>
      </c>
      <c r="T44" s="101">
        <v>1023</v>
      </c>
      <c r="U44" s="102"/>
    </row>
    <row r="45" spans="10:41" ht="20.100000000000001" customHeight="1" thickTop="1">
      <c r="J45" s="166" t="s">
        <v>581</v>
      </c>
      <c r="K45" s="167" t="s">
        <v>580</v>
      </c>
      <c r="L45" s="167" t="s">
        <v>253</v>
      </c>
      <c r="M45" s="167" t="s">
        <v>254</v>
      </c>
      <c r="N45" s="168" t="str">
        <f>MID(M45,4,3)</f>
        <v>811</v>
      </c>
      <c r="O45" s="169">
        <v>1</v>
      </c>
      <c r="Q45" s="116" t="s">
        <v>477</v>
      </c>
      <c r="R45" s="101"/>
      <c r="S45" s="101">
        <v>102</v>
      </c>
      <c r="T45" s="101">
        <v>1023</v>
      </c>
      <c r="U45" s="102">
        <v>102301</v>
      </c>
    </row>
    <row r="46" spans="10:41" ht="20.100000000000001" customHeight="1">
      <c r="J46" s="170" t="s">
        <v>582</v>
      </c>
      <c r="K46" s="171" t="s">
        <v>580</v>
      </c>
      <c r="L46" s="171" t="s">
        <v>255</v>
      </c>
      <c r="M46" s="171" t="s">
        <v>256</v>
      </c>
      <c r="N46" s="172" t="str">
        <f t="shared" ref="N46:N50" si="2">MID(M46,4,3)</f>
        <v>812</v>
      </c>
      <c r="O46" s="173">
        <v>1</v>
      </c>
      <c r="Q46" s="116" t="s">
        <v>478</v>
      </c>
      <c r="R46" s="101"/>
      <c r="S46" s="101">
        <v>102</v>
      </c>
      <c r="T46" s="101">
        <v>1023</v>
      </c>
      <c r="U46" s="102">
        <v>102302</v>
      </c>
    </row>
    <row r="47" spans="10:41" ht="20.100000000000001" customHeight="1">
      <c r="J47" s="170" t="s">
        <v>583</v>
      </c>
      <c r="K47" s="171" t="s">
        <v>580</v>
      </c>
      <c r="L47" s="171" t="s">
        <v>257</v>
      </c>
      <c r="M47" s="171" t="s">
        <v>258</v>
      </c>
      <c r="N47" s="172" t="str">
        <f t="shared" si="2"/>
        <v>813</v>
      </c>
      <c r="O47" s="173">
        <v>1</v>
      </c>
      <c r="Q47" s="116" t="s">
        <v>479</v>
      </c>
      <c r="R47" s="101"/>
      <c r="S47" s="101">
        <v>102</v>
      </c>
      <c r="T47" s="101">
        <v>1023</v>
      </c>
      <c r="U47" s="102">
        <v>102303</v>
      </c>
    </row>
    <row r="48" spans="10:41" ht="20.100000000000001" customHeight="1">
      <c r="J48" s="170" t="s">
        <v>584</v>
      </c>
      <c r="K48" s="171" t="s">
        <v>580</v>
      </c>
      <c r="L48" s="171" t="s">
        <v>259</v>
      </c>
      <c r="M48" s="171" t="s">
        <v>260</v>
      </c>
      <c r="N48" s="172" t="str">
        <f t="shared" si="2"/>
        <v>814</v>
      </c>
      <c r="O48" s="173">
        <v>1</v>
      </c>
      <c r="Q48" s="100" t="s">
        <v>480</v>
      </c>
      <c r="R48" s="101"/>
      <c r="S48" s="101">
        <v>102</v>
      </c>
      <c r="T48" s="101">
        <v>1024</v>
      </c>
      <c r="U48" s="102"/>
    </row>
    <row r="49" spans="10:21" ht="20.100000000000001" customHeight="1">
      <c r="J49" s="170" t="s">
        <v>585</v>
      </c>
      <c r="K49" s="171" t="s">
        <v>580</v>
      </c>
      <c r="L49" s="171" t="s">
        <v>261</v>
      </c>
      <c r="M49" s="171" t="s">
        <v>262</v>
      </c>
      <c r="N49" s="172" t="str">
        <f t="shared" si="2"/>
        <v>815</v>
      </c>
      <c r="O49" s="173">
        <v>1</v>
      </c>
      <c r="Q49" s="116" t="s">
        <v>481</v>
      </c>
      <c r="R49" s="101"/>
      <c r="S49" s="101">
        <v>102</v>
      </c>
      <c r="T49" s="101">
        <v>1024</v>
      </c>
      <c r="U49" s="102">
        <v>102401</v>
      </c>
    </row>
    <row r="50" spans="10:21" ht="20.100000000000001" customHeight="1" thickBot="1">
      <c r="J50" s="174" t="s">
        <v>586</v>
      </c>
      <c r="K50" s="175" t="s">
        <v>580</v>
      </c>
      <c r="L50" s="175" t="s">
        <v>263</v>
      </c>
      <c r="M50" s="175" t="s">
        <v>264</v>
      </c>
      <c r="N50" s="176" t="str">
        <f t="shared" si="2"/>
        <v>816</v>
      </c>
      <c r="O50" s="177">
        <v>1</v>
      </c>
      <c r="Q50" s="116" t="s">
        <v>482</v>
      </c>
      <c r="R50" s="101"/>
      <c r="S50" s="101">
        <v>102</v>
      </c>
      <c r="T50" s="101">
        <v>1024</v>
      </c>
      <c r="U50" s="102">
        <v>102402</v>
      </c>
    </row>
    <row r="51" spans="10:21" ht="20.100000000000001" customHeight="1" thickTop="1">
      <c r="Q51" s="495" t="s">
        <v>7</v>
      </c>
      <c r="R51" s="101"/>
      <c r="S51" s="101">
        <v>102</v>
      </c>
      <c r="T51" s="101">
        <v>1025</v>
      </c>
      <c r="U51" s="102"/>
    </row>
    <row r="52" spans="10:21" ht="20.100000000000001" customHeight="1">
      <c r="Q52" s="496" t="s">
        <v>8</v>
      </c>
      <c r="R52" s="101"/>
      <c r="S52" s="101">
        <v>102</v>
      </c>
      <c r="T52" s="101">
        <v>1025</v>
      </c>
      <c r="U52" s="102">
        <v>102501</v>
      </c>
    </row>
    <row r="53" spans="10:21" ht="20.100000000000001" customHeight="1">
      <c r="Q53" s="100" t="s">
        <v>483</v>
      </c>
      <c r="R53" s="101"/>
      <c r="S53" s="101">
        <v>103</v>
      </c>
      <c r="T53" s="101"/>
      <c r="U53" s="102"/>
    </row>
    <row r="54" spans="10:21" ht="20.100000000000001" customHeight="1">
      <c r="Q54" s="116" t="s">
        <v>484</v>
      </c>
      <c r="R54" s="101"/>
      <c r="S54" s="101">
        <v>103</v>
      </c>
      <c r="T54" s="101"/>
      <c r="U54" s="102">
        <v>103001</v>
      </c>
    </row>
    <row r="55" spans="10:21" ht="20.100000000000001" customHeight="1">
      <c r="Q55" s="100" t="s">
        <v>485</v>
      </c>
      <c r="R55" s="101"/>
      <c r="S55" s="101">
        <v>104</v>
      </c>
      <c r="T55" s="101"/>
      <c r="U55" s="102"/>
    </row>
    <row r="56" spans="10:21" ht="20.100000000000001" customHeight="1">
      <c r="Q56" s="116" t="s">
        <v>486</v>
      </c>
      <c r="R56" s="101"/>
      <c r="S56" s="101">
        <v>104</v>
      </c>
      <c r="T56" s="101"/>
      <c r="U56" s="102">
        <v>104001</v>
      </c>
    </row>
    <row r="57" spans="10:21" ht="20.100000000000001" customHeight="1">
      <c r="Q57" s="116" t="s">
        <v>487</v>
      </c>
      <c r="R57" s="101"/>
      <c r="S57" s="101">
        <v>104</v>
      </c>
      <c r="T57" s="101"/>
      <c r="U57" s="102">
        <v>104002</v>
      </c>
    </row>
    <row r="58" spans="10:21" ht="20.100000000000001" customHeight="1">
      <c r="Q58" s="494" t="s">
        <v>488</v>
      </c>
      <c r="R58" s="101"/>
      <c r="S58" s="101">
        <v>104</v>
      </c>
      <c r="T58" s="101"/>
      <c r="U58" s="102">
        <v>104003</v>
      </c>
    </row>
    <row r="59" spans="10:21" ht="20.100000000000001" customHeight="1">
      <c r="Q59" s="100" t="s">
        <v>489</v>
      </c>
      <c r="R59" s="101"/>
      <c r="S59" s="101">
        <v>105</v>
      </c>
      <c r="T59" s="101"/>
      <c r="U59" s="102"/>
    </row>
    <row r="60" spans="10:21" ht="20.100000000000001" customHeight="1">
      <c r="Q60" s="116" t="s">
        <v>490</v>
      </c>
      <c r="R60" s="101"/>
      <c r="S60" s="101">
        <v>105</v>
      </c>
      <c r="T60" s="101"/>
      <c r="U60" s="102">
        <v>105001</v>
      </c>
    </row>
    <row r="61" spans="10:21" ht="20.100000000000001" customHeight="1">
      <c r="Q61" s="116" t="s">
        <v>491</v>
      </c>
      <c r="R61" s="101"/>
      <c r="S61" s="101">
        <v>105</v>
      </c>
      <c r="T61" s="101"/>
      <c r="U61" s="102">
        <v>105002</v>
      </c>
    </row>
    <row r="62" spans="10:21" ht="20.100000000000001" customHeight="1">
      <c r="Q62" s="116" t="s">
        <v>492</v>
      </c>
      <c r="R62" s="101"/>
      <c r="S62" s="101">
        <v>105</v>
      </c>
      <c r="T62" s="101"/>
      <c r="U62" s="102">
        <v>105003</v>
      </c>
    </row>
    <row r="63" spans="10:21" ht="20.100000000000001" customHeight="1">
      <c r="Q63" s="116" t="s">
        <v>493</v>
      </c>
      <c r="R63" s="101"/>
      <c r="S63" s="101">
        <v>105</v>
      </c>
      <c r="T63" s="101"/>
      <c r="U63" s="102">
        <v>105004</v>
      </c>
    </row>
    <row r="64" spans="10:21" ht="20.100000000000001" customHeight="1">
      <c r="Q64" s="116" t="s">
        <v>494</v>
      </c>
      <c r="R64" s="101"/>
      <c r="S64" s="101">
        <v>105</v>
      </c>
      <c r="T64" s="101"/>
      <c r="U64" s="102">
        <v>105005</v>
      </c>
    </row>
    <row r="65" spans="17:21" ht="20.100000000000001" customHeight="1">
      <c r="Q65" s="494" t="s">
        <v>495</v>
      </c>
      <c r="R65" s="101"/>
      <c r="S65" s="101">
        <v>105</v>
      </c>
      <c r="T65" s="101"/>
      <c r="U65" s="102">
        <v>105006</v>
      </c>
    </row>
    <row r="66" spans="17:21" ht="20.100000000000001" customHeight="1">
      <c r="Q66" s="494" t="s">
        <v>496</v>
      </c>
      <c r="R66" s="101"/>
      <c r="S66" s="101">
        <v>105</v>
      </c>
      <c r="T66" s="101"/>
      <c r="U66" s="102">
        <v>105007</v>
      </c>
    </row>
    <row r="67" spans="17:21" ht="20.100000000000001" customHeight="1">
      <c r="Q67" s="100" t="s">
        <v>497</v>
      </c>
      <c r="R67" s="101"/>
      <c r="S67" s="101">
        <v>106</v>
      </c>
      <c r="T67" s="101"/>
      <c r="U67" s="102"/>
    </row>
    <row r="68" spans="17:21" ht="20.100000000000001" customHeight="1">
      <c r="Q68" s="116" t="s">
        <v>498</v>
      </c>
      <c r="R68" s="101"/>
      <c r="S68" s="101">
        <v>106</v>
      </c>
      <c r="T68" s="101"/>
      <c r="U68" s="102">
        <v>106001</v>
      </c>
    </row>
    <row r="69" spans="17:21" ht="20.100000000000001" customHeight="1">
      <c r="Q69" s="100" t="s">
        <v>499</v>
      </c>
      <c r="R69" s="101"/>
      <c r="S69" s="101">
        <v>107</v>
      </c>
      <c r="T69" s="101"/>
      <c r="U69" s="102"/>
    </row>
    <row r="70" spans="17:21" ht="20.100000000000001" customHeight="1">
      <c r="Q70" s="116" t="s">
        <v>500</v>
      </c>
      <c r="R70" s="101"/>
      <c r="S70" s="101">
        <v>107</v>
      </c>
      <c r="T70" s="101"/>
      <c r="U70" s="102">
        <v>107001</v>
      </c>
    </row>
    <row r="71" spans="17:21" ht="20.100000000000001" customHeight="1">
      <c r="Q71" s="100" t="s">
        <v>501</v>
      </c>
      <c r="R71" s="101"/>
      <c r="S71" s="101">
        <v>108</v>
      </c>
      <c r="T71" s="101"/>
      <c r="U71" s="102"/>
    </row>
    <row r="72" spans="17:21" ht="20.100000000000001" customHeight="1">
      <c r="Q72" s="116" t="s">
        <v>502</v>
      </c>
      <c r="R72" s="101"/>
      <c r="S72" s="101">
        <v>108</v>
      </c>
      <c r="T72" s="101"/>
      <c r="U72" s="102">
        <v>108001</v>
      </c>
    </row>
    <row r="73" spans="17:21" ht="20.100000000000001" customHeight="1">
      <c r="Q73" s="116" t="s">
        <v>503</v>
      </c>
      <c r="R73" s="101"/>
      <c r="S73" s="101">
        <v>108</v>
      </c>
      <c r="T73" s="101"/>
      <c r="U73" s="102">
        <v>108002</v>
      </c>
    </row>
    <row r="74" spans="17:21" ht="20.100000000000001" customHeight="1">
      <c r="Q74" s="116" t="s">
        <v>504</v>
      </c>
      <c r="R74" s="101"/>
      <c r="S74" s="101">
        <v>108</v>
      </c>
      <c r="T74" s="101"/>
      <c r="U74" s="102">
        <v>108003</v>
      </c>
    </row>
    <row r="75" spans="17:21" ht="20.100000000000001" customHeight="1">
      <c r="Q75" s="116" t="s">
        <v>505</v>
      </c>
      <c r="R75" s="101"/>
      <c r="S75" s="101">
        <v>108</v>
      </c>
      <c r="T75" s="101"/>
      <c r="U75" s="102">
        <v>108004</v>
      </c>
    </row>
    <row r="76" spans="17:21" ht="20.100000000000001" customHeight="1">
      <c r="Q76" s="116" t="s">
        <v>506</v>
      </c>
      <c r="R76" s="101"/>
      <c r="S76" s="101">
        <v>108</v>
      </c>
      <c r="T76" s="101"/>
      <c r="U76" s="102">
        <v>108005</v>
      </c>
    </row>
    <row r="77" spans="17:21" ht="20.100000000000001" customHeight="1">
      <c r="Q77" s="116" t="s">
        <v>507</v>
      </c>
      <c r="R77" s="101"/>
      <c r="S77" s="101">
        <v>108</v>
      </c>
      <c r="T77" s="101"/>
      <c r="U77" s="102">
        <v>108006</v>
      </c>
    </row>
    <row r="78" spans="17:21" ht="20.100000000000001" customHeight="1">
      <c r="Q78" s="116" t="s">
        <v>508</v>
      </c>
      <c r="R78" s="101"/>
      <c r="S78" s="101">
        <v>108</v>
      </c>
      <c r="T78" s="101"/>
      <c r="U78" s="102">
        <v>108007</v>
      </c>
    </row>
    <row r="79" spans="17:21" ht="20.100000000000001" customHeight="1">
      <c r="Q79" s="116" t="s">
        <v>509</v>
      </c>
      <c r="R79" s="101"/>
      <c r="S79" s="101">
        <v>108</v>
      </c>
      <c r="T79" s="101"/>
      <c r="U79" s="102">
        <v>108008</v>
      </c>
    </row>
    <row r="80" spans="17:21" ht="20.100000000000001" customHeight="1">
      <c r="Q80" s="116" t="s">
        <v>510</v>
      </c>
      <c r="R80" s="101"/>
      <c r="S80" s="101">
        <v>108</v>
      </c>
      <c r="T80" s="101"/>
      <c r="U80" s="102">
        <v>108009</v>
      </c>
    </row>
    <row r="81" spans="17:21" ht="20.100000000000001" customHeight="1">
      <c r="Q81" s="116" t="s">
        <v>511</v>
      </c>
      <c r="R81" s="101"/>
      <c r="S81" s="101">
        <v>108</v>
      </c>
      <c r="T81" s="101"/>
      <c r="U81" s="102">
        <v>108010</v>
      </c>
    </row>
    <row r="82" spans="17:21" ht="20.100000000000001" customHeight="1">
      <c r="Q82" s="100" t="s">
        <v>512</v>
      </c>
      <c r="R82" s="101"/>
      <c r="S82" s="101">
        <v>109</v>
      </c>
      <c r="T82" s="101"/>
      <c r="U82" s="102"/>
    </row>
    <row r="83" spans="17:21" ht="20.100000000000001" customHeight="1">
      <c r="Q83" s="116" t="s">
        <v>513</v>
      </c>
      <c r="R83" s="101"/>
      <c r="S83" s="101">
        <v>109</v>
      </c>
      <c r="T83" s="101"/>
      <c r="U83" s="102">
        <v>109001</v>
      </c>
    </row>
    <row r="84" spans="17:21" ht="20.100000000000001" customHeight="1">
      <c r="Q84" s="116" t="s">
        <v>514</v>
      </c>
      <c r="R84" s="101"/>
      <c r="S84" s="101">
        <v>109</v>
      </c>
      <c r="T84" s="101"/>
      <c r="U84" s="102">
        <v>109002</v>
      </c>
    </row>
    <row r="85" spans="17:21" ht="20.100000000000001" customHeight="1">
      <c r="Q85" s="100" t="s">
        <v>515</v>
      </c>
      <c r="R85" s="101"/>
      <c r="S85" s="101">
        <v>110</v>
      </c>
      <c r="T85" s="101"/>
      <c r="U85" s="102"/>
    </row>
    <row r="86" spans="17:21" ht="20.100000000000001" customHeight="1">
      <c r="Q86" s="494" t="s">
        <v>516</v>
      </c>
      <c r="R86" s="101"/>
      <c r="S86" s="101">
        <v>110</v>
      </c>
      <c r="T86" s="101"/>
      <c r="U86" s="102">
        <v>110001</v>
      </c>
    </row>
    <row r="87" spans="17:21" ht="20.100000000000001" customHeight="1">
      <c r="Q87" s="100" t="s">
        <v>517</v>
      </c>
      <c r="R87" s="101"/>
      <c r="S87" s="101">
        <v>111</v>
      </c>
      <c r="T87" s="101"/>
      <c r="U87" s="102"/>
    </row>
    <row r="88" spans="17:21" ht="31.8" customHeight="1">
      <c r="Q88" s="116" t="s">
        <v>518</v>
      </c>
      <c r="R88" s="101"/>
      <c r="S88" s="101">
        <v>111</v>
      </c>
      <c r="T88" s="101"/>
      <c r="U88" s="102">
        <v>111001</v>
      </c>
    </row>
    <row r="89" spans="17:21" ht="20.100000000000001" customHeight="1">
      <c r="Q89" s="178" t="s">
        <v>519</v>
      </c>
      <c r="R89" s="101">
        <v>2</v>
      </c>
      <c r="S89" s="101"/>
      <c r="T89" s="101"/>
      <c r="U89" s="102"/>
    </row>
    <row r="90" spans="17:21" ht="20.100000000000001" customHeight="1">
      <c r="Q90" s="100" t="s">
        <v>520</v>
      </c>
      <c r="R90" s="101"/>
      <c r="S90" s="101">
        <v>201</v>
      </c>
      <c r="T90" s="101"/>
      <c r="U90" s="102"/>
    </row>
    <row r="91" spans="17:21" ht="20.100000000000001" customHeight="1">
      <c r="Q91" s="116" t="s">
        <v>521</v>
      </c>
      <c r="R91" s="101"/>
      <c r="S91" s="101">
        <v>201</v>
      </c>
      <c r="T91" s="101"/>
      <c r="U91" s="102">
        <v>201001</v>
      </c>
    </row>
    <row r="92" spans="17:21" ht="20.100000000000001" customHeight="1">
      <c r="Q92" s="100" t="s">
        <v>522</v>
      </c>
      <c r="R92" s="101"/>
      <c r="S92" s="101">
        <v>202</v>
      </c>
      <c r="T92" s="101"/>
      <c r="U92" s="102"/>
    </row>
    <row r="93" spans="17:21" ht="20.100000000000001" customHeight="1">
      <c r="Q93" s="116" t="s">
        <v>523</v>
      </c>
      <c r="R93" s="101"/>
      <c r="S93" s="101">
        <v>202</v>
      </c>
      <c r="T93" s="101"/>
      <c r="U93" s="102">
        <v>202001</v>
      </c>
    </row>
    <row r="94" spans="17:21" ht="20.100000000000001" customHeight="1">
      <c r="Q94" s="100" t="s">
        <v>524</v>
      </c>
      <c r="R94" s="101"/>
      <c r="S94" s="101">
        <v>203</v>
      </c>
      <c r="T94" s="101"/>
      <c r="U94" s="102"/>
    </row>
    <row r="95" spans="17:21" ht="27.6" customHeight="1">
      <c r="Q95" s="116" t="s">
        <v>525</v>
      </c>
      <c r="R95" s="101"/>
      <c r="S95" s="101">
        <v>203</v>
      </c>
      <c r="T95" s="101"/>
      <c r="U95" s="102">
        <v>203001</v>
      </c>
    </row>
    <row r="96" spans="17:21" ht="20.100000000000001" customHeight="1">
      <c r="Q96" s="100" t="s">
        <v>526</v>
      </c>
      <c r="R96" s="101"/>
      <c r="S96" s="101">
        <v>204</v>
      </c>
      <c r="T96" s="101"/>
      <c r="U96" s="102"/>
    </row>
    <row r="97" spans="17:21" ht="20.100000000000001" customHeight="1">
      <c r="Q97" s="116" t="s">
        <v>527</v>
      </c>
      <c r="R97" s="101"/>
      <c r="S97" s="101">
        <v>204</v>
      </c>
      <c r="T97" s="101"/>
      <c r="U97" s="102">
        <v>204001</v>
      </c>
    </row>
    <row r="98" spans="17:21" ht="20.100000000000001" customHeight="1">
      <c r="Q98" s="100" t="s">
        <v>528</v>
      </c>
      <c r="R98" s="101"/>
      <c r="S98" s="101">
        <v>205</v>
      </c>
      <c r="T98" s="101"/>
      <c r="U98" s="102"/>
    </row>
    <row r="99" spans="17:21" ht="20.100000000000001" customHeight="1">
      <c r="Q99" s="100" t="s">
        <v>529</v>
      </c>
      <c r="R99" s="101"/>
      <c r="S99" s="101">
        <v>205</v>
      </c>
      <c r="T99" s="101">
        <v>2051</v>
      </c>
      <c r="U99" s="102"/>
    </row>
    <row r="100" spans="17:21" ht="20.100000000000001" customHeight="1">
      <c r="Q100" s="116" t="s">
        <v>530</v>
      </c>
      <c r="R100" s="101"/>
      <c r="S100" s="101">
        <v>205</v>
      </c>
      <c r="T100" s="101">
        <v>2051</v>
      </c>
      <c r="U100" s="102">
        <v>205101</v>
      </c>
    </row>
    <row r="101" spans="17:21" ht="20.100000000000001" customHeight="1">
      <c r="Q101" s="100" t="s">
        <v>531</v>
      </c>
      <c r="R101" s="101"/>
      <c r="S101" s="101">
        <v>205</v>
      </c>
      <c r="T101" s="101">
        <v>2052</v>
      </c>
      <c r="U101" s="102"/>
    </row>
    <row r="102" spans="17:21" ht="20.100000000000001" customHeight="1">
      <c r="Q102" s="116" t="s">
        <v>532</v>
      </c>
      <c r="R102" s="101"/>
      <c r="S102" s="101">
        <v>205</v>
      </c>
      <c r="T102" s="101">
        <v>2052</v>
      </c>
      <c r="U102" s="102">
        <v>205201</v>
      </c>
    </row>
    <row r="103" spans="17:21" ht="20.100000000000001" customHeight="1">
      <c r="Q103" s="100" t="s">
        <v>533</v>
      </c>
      <c r="R103" s="101"/>
      <c r="S103" s="101">
        <v>205</v>
      </c>
      <c r="T103" s="101">
        <v>2053</v>
      </c>
      <c r="U103" s="102"/>
    </row>
    <row r="104" spans="17:21" ht="20.100000000000001" customHeight="1">
      <c r="Q104" s="116" t="s">
        <v>534</v>
      </c>
      <c r="R104" s="101"/>
      <c r="S104" s="101">
        <v>205</v>
      </c>
      <c r="T104" s="101">
        <v>2053</v>
      </c>
      <c r="U104" s="102">
        <v>205301</v>
      </c>
    </row>
    <row r="105" spans="17:21" ht="20.100000000000001" customHeight="1">
      <c r="Q105" s="100" t="s">
        <v>535</v>
      </c>
      <c r="R105" s="101"/>
      <c r="S105" s="101">
        <v>205</v>
      </c>
      <c r="T105" s="101">
        <v>2054</v>
      </c>
      <c r="U105" s="102"/>
    </row>
    <row r="106" spans="17:21" ht="20.100000000000001" customHeight="1">
      <c r="Q106" s="116" t="s">
        <v>536</v>
      </c>
      <c r="R106" s="101"/>
      <c r="S106" s="101">
        <v>205</v>
      </c>
      <c r="T106" s="101">
        <v>2054</v>
      </c>
      <c r="U106" s="102">
        <v>205401</v>
      </c>
    </row>
    <row r="107" spans="17:21" ht="20.100000000000001" customHeight="1">
      <c r="Q107" s="100" t="s">
        <v>537</v>
      </c>
      <c r="R107" s="101"/>
      <c r="S107" s="101">
        <v>205</v>
      </c>
      <c r="T107" s="101">
        <v>2055</v>
      </c>
      <c r="U107" s="102"/>
    </row>
    <row r="108" spans="17:21" ht="20.100000000000001" customHeight="1">
      <c r="Q108" s="116" t="s">
        <v>538</v>
      </c>
      <c r="R108" s="101"/>
      <c r="S108" s="101">
        <v>205</v>
      </c>
      <c r="T108" s="101">
        <v>2055</v>
      </c>
      <c r="U108" s="102">
        <v>205501</v>
      </c>
    </row>
    <row r="109" spans="17:21" ht="20.100000000000001" customHeight="1">
      <c r="Q109" s="100" t="s">
        <v>539</v>
      </c>
      <c r="R109" s="101"/>
      <c r="S109" s="101">
        <v>205</v>
      </c>
      <c r="T109" s="101">
        <v>2056</v>
      </c>
      <c r="U109" s="102"/>
    </row>
    <row r="110" spans="17:21" ht="20.100000000000001" customHeight="1">
      <c r="Q110" s="116" t="s">
        <v>540</v>
      </c>
      <c r="R110" s="101"/>
      <c r="S110" s="101">
        <v>205</v>
      </c>
      <c r="T110" s="101">
        <v>2056</v>
      </c>
      <c r="U110" s="102">
        <v>205601</v>
      </c>
    </row>
    <row r="111" spans="17:21" ht="20.100000000000001" customHeight="1">
      <c r="Q111" s="100" t="s">
        <v>541</v>
      </c>
      <c r="R111" s="101"/>
      <c r="S111" s="101">
        <v>206</v>
      </c>
      <c r="T111" s="101"/>
      <c r="U111" s="102"/>
    </row>
    <row r="112" spans="17:21" ht="20.100000000000001" customHeight="1">
      <c r="Q112" s="116" t="s">
        <v>542</v>
      </c>
      <c r="R112" s="101"/>
      <c r="S112" s="101">
        <v>206</v>
      </c>
      <c r="T112" s="101"/>
      <c r="U112" s="102">
        <v>206001</v>
      </c>
    </row>
    <row r="113" spans="17:21" ht="20.100000000000001" customHeight="1">
      <c r="Q113" s="116" t="s">
        <v>543</v>
      </c>
      <c r="R113" s="101"/>
      <c r="S113" s="101">
        <v>206</v>
      </c>
      <c r="T113" s="101"/>
      <c r="U113" s="102">
        <v>206002</v>
      </c>
    </row>
    <row r="114" spans="17:21" ht="20.100000000000001" customHeight="1">
      <c r="Q114" s="116" t="s">
        <v>544</v>
      </c>
      <c r="R114" s="101"/>
      <c r="S114" s="101">
        <v>206</v>
      </c>
      <c r="T114" s="101"/>
      <c r="U114" s="102">
        <v>206003</v>
      </c>
    </row>
    <row r="115" spans="17:21" ht="20.100000000000001" customHeight="1">
      <c r="Q115" s="100" t="s">
        <v>545</v>
      </c>
      <c r="R115" s="101"/>
      <c r="S115" s="101">
        <v>207</v>
      </c>
      <c r="T115" s="101"/>
      <c r="U115" s="102"/>
    </row>
    <row r="116" spans="17:21" ht="20.100000000000001" customHeight="1" thickBot="1">
      <c r="Q116" s="179" t="s">
        <v>546</v>
      </c>
      <c r="R116" s="180"/>
      <c r="S116" s="180">
        <v>207</v>
      </c>
      <c r="T116" s="180"/>
      <c r="U116" s="181">
        <v>207001</v>
      </c>
    </row>
  </sheetData>
  <sheetProtection algorithmName="SHA-512" hashValue="xzSkxw4kEmrlelrc9nsmd34ae6DfN+aaZDuSBe/Mvm4ya1pc4qtKT424l6bzRLF4fLoHWTv4ByP1vDnX2dxeOg==" saltValue="oqgdxvZuI8rAdYWj/UH5ew==" spinCount="100000" sheet="1" selectLockedCells="1" selectUnlockedCells="1"/>
  <mergeCells count="9">
    <mergeCell ref="AD12:AJ12"/>
    <mergeCell ref="B10:B11"/>
    <mergeCell ref="D10:F10"/>
    <mergeCell ref="C10:C11"/>
    <mergeCell ref="G10:G11"/>
    <mergeCell ref="AD8:AJ8"/>
    <mergeCell ref="AD9:AJ9"/>
    <mergeCell ref="AD10:AJ10"/>
    <mergeCell ref="AD11:AJ11"/>
  </mergeCells>
  <phoneticPr fontId="21" type="noConversion"/>
  <dataValidations disablePrompts="1" count="6">
    <dataValidation type="list" allowBlank="1" showInputMessage="1" showErrorMessage="1" sqref="AK15" xr:uid="{62B6B299-21AC-43AA-8AC4-1D145215B948}">
      <formula1>$A$2:$A$4</formula1>
    </dataValidation>
    <dataValidation type="list" allowBlank="1" showInputMessage="1" showErrorMessage="1" sqref="AK10:AK11" xr:uid="{314ED0AB-713C-4666-B25E-D90BF2C67BEE}">
      <formula1>$AD$4:$AD$6</formula1>
    </dataValidation>
    <dataValidation type="list" allowBlank="1" showInputMessage="1" showErrorMessage="1" sqref="AK12" xr:uid="{B2638C82-EE0F-4087-A76E-3F2EEA0E6A9D}">
      <formula1>$AF$4:$AF$6</formula1>
    </dataValidation>
    <dataValidation type="list" allowBlank="1" showInputMessage="1" showErrorMessage="1" sqref="AL9:AL12" xr:uid="{B943DBC7-2680-4C23-B005-82FFF19B89CA}">
      <formula1>$AG$4:$AG$6</formula1>
    </dataValidation>
    <dataValidation type="list" allowBlank="1" showInputMessage="1" showErrorMessage="1" sqref="AM9:AM12" xr:uid="{75DBC89C-F093-40C1-9E3D-35931F73F0DE}">
      <formula1>$AH$4:$AH$6</formula1>
    </dataValidation>
    <dataValidation type="list" allowBlank="1" showInputMessage="1" showErrorMessage="1" sqref="AK9" xr:uid="{88872847-79B1-402F-8EA1-7A480B2B967E}">
      <formula1>$AC$4:$AC$5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0BBD7-A519-45BE-9E3C-2F5CB31E6655}">
  <sheetPr codeName="Sheet3">
    <tabColor rgb="FF002060"/>
  </sheetPr>
  <dimension ref="B1:O18"/>
  <sheetViews>
    <sheetView workbookViewId="0">
      <selection activeCell="C2" sqref="C2"/>
    </sheetView>
  </sheetViews>
  <sheetFormatPr defaultColWidth="8.5546875" defaultRowHeight="20.100000000000001" customHeight="1"/>
  <cols>
    <col min="1" max="1" width="3.5546875" style="1" customWidth="1"/>
    <col min="2" max="2" width="80.6640625" style="1" customWidth="1"/>
    <col min="3" max="3" width="8.5546875" style="1" customWidth="1"/>
    <col min="4" max="4" width="3.5546875" style="1" customWidth="1"/>
    <col min="5" max="5" width="24.5546875" style="1" hidden="1" customWidth="1"/>
    <col min="6" max="6" width="8.5546875" style="1" hidden="1" customWidth="1"/>
    <col min="7" max="7" width="3.5546875" style="1" hidden="1" customWidth="1"/>
    <col min="8" max="8" width="55.6640625" style="1" customWidth="1"/>
    <col min="9" max="9" width="7" style="1" customWidth="1"/>
    <col min="10" max="10" width="3.5546875" style="1" customWidth="1"/>
    <col min="11" max="11" width="40.44140625" style="1" hidden="1" customWidth="1"/>
    <col min="12" max="12" width="8.5546875" style="1" hidden="1" customWidth="1"/>
    <col min="13" max="13" width="3.5546875" style="1" hidden="1" customWidth="1"/>
    <col min="14" max="14" width="55.6640625" style="1" customWidth="1"/>
    <col min="15" max="15" width="8.5546875" style="1" customWidth="1"/>
    <col min="16" max="16" width="3.5546875" style="1" customWidth="1"/>
    <col min="17" max="16384" width="8.5546875" style="1"/>
  </cols>
  <sheetData>
    <row r="1" spans="2:15" ht="30" customHeight="1" thickTop="1">
      <c r="B1" s="328" t="s">
        <v>265</v>
      </c>
      <c r="C1" s="329" t="s">
        <v>32</v>
      </c>
      <c r="E1" s="330" t="s">
        <v>3</v>
      </c>
      <c r="F1" s="331" t="s">
        <v>32</v>
      </c>
      <c r="H1" s="328" t="s">
        <v>3</v>
      </c>
      <c r="I1" s="329" t="s">
        <v>32</v>
      </c>
      <c r="K1" s="330" t="s">
        <v>266</v>
      </c>
      <c r="L1" s="331" t="s">
        <v>32</v>
      </c>
      <c r="N1" s="328" t="s">
        <v>266</v>
      </c>
      <c r="O1" s="329" t="s">
        <v>32</v>
      </c>
    </row>
    <row r="2" spans="2:15" ht="30" customHeight="1">
      <c r="B2" s="332" t="str" cm="1">
        <f t="array" ref="B2">_xlfn._xlws.FILTER('Entity assessment'!C30:C142, ('Entity assessment'!D30:D142="Yes") + ('Entity assessment'!D30:D142="Calificat") + ('Entity assessment'!D30:D142="Necalificat"), "")</f>
        <v/>
      </c>
      <c r="C2" s="2" t="str">
        <f>IF(B2="","",VLOOKUP(B2,Liste!Q3:U116,5,FALSE))</f>
        <v/>
      </c>
      <c r="E2" s="5" t="str">
        <f>IF(F2="","",VLOOKUP(Ajutor!F2,Liste!$AP$3:$AQ$20,2,FALSE))</f>
        <v/>
      </c>
      <c r="F2" s="5" t="str">
        <f>IF(C2="","",VALUE(LEFT(TEXT(C2,"000000"),3)))</f>
        <v/>
      </c>
      <c r="H2" s="335" t="str" cm="1">
        <f t="array" ref="H2">IF(E2="","",_xlfn.UNIQUE(_xlfn._xlws.FILTER(E2:F6,(E2:E6&lt;&gt;"")*(F2:F6&lt;&gt;""))))</f>
        <v/>
      </c>
      <c r="I2" s="2"/>
      <c r="K2" s="5" t="str">
        <f>IF(L2="","",VLOOKUP(Ajutor!L2,Liste!$AS$3:$AT$19,2,FALSE))</f>
        <v/>
      </c>
      <c r="L2" s="5" t="str">
        <f>IF(C2="","",IF(MID(TEXT(C2,"000000"),4,1)&lt;&gt;"0",VALUE(LEFT(TEXT(C2,"000000"),4)),""))</f>
        <v/>
      </c>
      <c r="N2" s="335" t="str" cm="1">
        <f t="array" ref="N2">IF(K2="","",_xlfn.UNIQUE(_xlfn._xlws.FILTER(K2:L6,(L2:L6&lt;&gt;"")*(L2:L6&lt;&gt;""))))</f>
        <v/>
      </c>
      <c r="O2" s="2"/>
    </row>
    <row r="3" spans="2:15" ht="30" customHeight="1">
      <c r="B3" s="333"/>
      <c r="C3" s="3" t="str">
        <f>IF(B3="","",VLOOKUP(B3,Liste!Q4:U117,5,FALSE))</f>
        <v/>
      </c>
      <c r="E3" s="5" t="str">
        <f>IF(F3="","",VLOOKUP(Ajutor!F3,Liste!$AP$3:$AQ$20,2,FALSE))</f>
        <v/>
      </c>
      <c r="F3" s="5" t="str">
        <f t="shared" ref="F3:F6" si="0">IF(C3="","",VALUE(LEFT(TEXT(C3,"000000"),3)))</f>
        <v/>
      </c>
      <c r="H3" s="336"/>
      <c r="I3" s="3"/>
      <c r="K3" s="5" t="str">
        <f>IF(L3="","",VLOOKUP(Ajutor!L3,Liste!$AS$3:$AT$19,2,FALSE))</f>
        <v/>
      </c>
      <c r="L3" s="5" t="str">
        <f t="shared" ref="L3:L6" si="1">IF(C3="","",IF(MID(TEXT(C3,"000000"),4,1)&lt;&gt;"0",VALUE(LEFT(TEXT(C3,"000000"),4)),""))</f>
        <v/>
      </c>
      <c r="N3" s="336"/>
      <c r="O3" s="3"/>
    </row>
    <row r="4" spans="2:15" ht="30" customHeight="1">
      <c r="B4" s="333"/>
      <c r="C4" s="3" t="str">
        <f>IF(B4="","",VLOOKUP(B4,Liste!Q5:U118,5,FALSE))</f>
        <v/>
      </c>
      <c r="E4" s="5" t="str">
        <f>IF(F4="","",VLOOKUP(Ajutor!F4,Liste!$AP$3:$AQ$20,2,FALSE))</f>
        <v/>
      </c>
      <c r="F4" s="5" t="str">
        <f t="shared" si="0"/>
        <v/>
      </c>
      <c r="H4" s="336"/>
      <c r="I4" s="3"/>
      <c r="K4" s="5" t="str">
        <f>IF(L4="","",VLOOKUP(Ajutor!L4,Liste!$AS$3:$AT$19,2,FALSE))</f>
        <v/>
      </c>
      <c r="L4" s="5" t="str">
        <f t="shared" si="1"/>
        <v/>
      </c>
      <c r="N4" s="336"/>
      <c r="O4" s="3"/>
    </row>
    <row r="5" spans="2:15" ht="30" customHeight="1">
      <c r="B5" s="333"/>
      <c r="C5" s="3" t="str">
        <f>IF(B5="","",VLOOKUP(B5,Liste!Q6:U119,5,FALSE))</f>
        <v/>
      </c>
      <c r="E5" s="5" t="str">
        <f>IF(F5="","",VLOOKUP(Ajutor!F5,Liste!$AP$3:$AQ$20,2,FALSE))</f>
        <v/>
      </c>
      <c r="F5" s="5" t="str">
        <f t="shared" si="0"/>
        <v/>
      </c>
      <c r="H5" s="336"/>
      <c r="I5" s="3"/>
      <c r="K5" s="5" t="str">
        <f>IF(L5="","",VLOOKUP(Ajutor!L5,Liste!$AS$3:$AT$19,2,FALSE))</f>
        <v/>
      </c>
      <c r="L5" s="5" t="str">
        <f t="shared" si="1"/>
        <v/>
      </c>
      <c r="N5" s="336"/>
      <c r="O5" s="3"/>
    </row>
    <row r="6" spans="2:15" ht="30" customHeight="1">
      <c r="B6" s="334"/>
      <c r="C6" s="4" t="str">
        <f>IF(B6="","",VLOOKUP(B6,Liste!Q7:U120,5,FALSE))</f>
        <v/>
      </c>
      <c r="E6" s="6" t="str">
        <f>IF(F6="","",VLOOKUP(Ajutor!F6,Liste!$AP$3:$AQ$20,2,FALSE))</f>
        <v/>
      </c>
      <c r="F6" s="6" t="str">
        <f t="shared" si="0"/>
        <v/>
      </c>
      <c r="H6" s="337"/>
      <c r="I6" s="4"/>
      <c r="K6" s="6" t="str">
        <f>IF(L6="","",VLOOKUP(Ajutor!L6,Liste!$AS$3:$AT$19,2,FALSE))</f>
        <v/>
      </c>
      <c r="L6" s="6" t="str">
        <f t="shared" si="1"/>
        <v/>
      </c>
      <c r="N6" s="337"/>
      <c r="O6" s="4"/>
    </row>
    <row r="7" spans="2:15" ht="20.100000000000001" customHeight="1">
      <c r="B7" s="334"/>
      <c r="C7" s="4" t="str">
        <f>IF(B7="","",VLOOKUP(B7,Liste!Q8:U121,5,FALSE))</f>
        <v/>
      </c>
    </row>
    <row r="8" spans="2:15" ht="20.100000000000001" customHeight="1">
      <c r="B8" s="334"/>
      <c r="C8" s="4" t="str">
        <f>IF(B8="","",VLOOKUP(B8,Liste!Q9:U122,5,FALSE))</f>
        <v/>
      </c>
    </row>
    <row r="9" spans="2:15" ht="20.100000000000001" customHeight="1">
      <c r="B9" s="334"/>
      <c r="C9" s="4" t="str">
        <f>IF(B9="","",VLOOKUP(B9,Liste!Q10:U123,5,FALSE))</f>
        <v/>
      </c>
    </row>
    <row r="10" spans="2:15" ht="20.100000000000001" customHeight="1">
      <c r="B10" s="334"/>
      <c r="C10" s="4" t="str">
        <f>IF(B10="","",VLOOKUP(B10,Liste!Q11:U124,5,FALSE))</f>
        <v/>
      </c>
    </row>
    <row r="11" spans="2:15" ht="20.100000000000001" customHeight="1">
      <c r="B11" s="334"/>
      <c r="C11" s="4" t="str">
        <f>IF(B11="","",VLOOKUP(B11,Liste!Q12:U125,5,FALSE))</f>
        <v/>
      </c>
    </row>
    <row r="12" spans="2:15" ht="20.100000000000001" customHeight="1">
      <c r="B12" s="334"/>
      <c r="C12" s="4" t="str">
        <f>IF(B12="","",VLOOKUP(B12,Liste!Q13:U126,5,FALSE))</f>
        <v/>
      </c>
    </row>
    <row r="13" spans="2:15" ht="20.100000000000001" customHeight="1">
      <c r="B13" s="334"/>
      <c r="C13" s="4" t="str">
        <f>IF(B13="","",VLOOKUP(B13,Liste!Q14:U127,5,FALSE))</f>
        <v/>
      </c>
    </row>
    <row r="14" spans="2:15" ht="20.100000000000001" customHeight="1">
      <c r="B14" s="334"/>
      <c r="C14" s="4" t="str">
        <f>IF(B14="","",VLOOKUP(B14,Liste!Q15:U128,5,FALSE))</f>
        <v/>
      </c>
    </row>
    <row r="15" spans="2:15" ht="20.100000000000001" customHeight="1">
      <c r="B15" s="334"/>
      <c r="C15" s="4" t="str">
        <f>IF(B15="","",VLOOKUP(B15,Liste!Q16:U129,5,FALSE))</f>
        <v/>
      </c>
    </row>
    <row r="16" spans="2:15" ht="20.100000000000001" customHeight="1">
      <c r="B16" s="334"/>
      <c r="C16" s="4" t="str">
        <f>IF(B16="","",VLOOKUP(B16,Liste!Q17:U130,5,FALSE))</f>
        <v/>
      </c>
    </row>
    <row r="17" spans="2:3" ht="20.100000000000001" customHeight="1">
      <c r="B17" s="334"/>
      <c r="C17" s="4" t="str">
        <f>IF(B17="","",VLOOKUP(B17,Liste!Q18:U131,5,FALSE))</f>
        <v/>
      </c>
    </row>
    <row r="18" spans="2:3" ht="20.100000000000001" customHeight="1">
      <c r="B18" s="334"/>
      <c r="C18" s="4" t="str">
        <f>IF(B18="","",VLOOKUP(B18,Liste!Q19:U132,5,FALSE))</f>
        <v/>
      </c>
    </row>
  </sheetData>
  <sheetProtection algorithmName="SHA-512" hashValue="nCrvdCeUKdJgC5Qje7R/8jORWoI6Zk924/PxOIo5xrMP0/TF9wL0UedNm1uUX9SLyaPlu4d91oMNz/EdIOy9cA==" saltValue="DgUReM8m5ExKSgW2Ilfy8A==" spinCount="100000" sheet="1" selectLockedCells="1" selectUnlockedCell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45B1A-F5A5-4FFD-B349-06B351C7AAFD}">
  <sheetPr codeName="Sheet4">
    <tabColor rgb="FF002060"/>
  </sheetPr>
  <dimension ref="A1:O25"/>
  <sheetViews>
    <sheetView zoomScaleNormal="100" zoomScaleSheetLayoutView="100" workbookViewId="0">
      <selection activeCell="O9" sqref="O9"/>
    </sheetView>
  </sheetViews>
  <sheetFormatPr defaultColWidth="8.77734375" defaultRowHeight="19.95" customHeight="1"/>
  <cols>
    <col min="1" max="1" width="3.6640625" style="8" customWidth="1"/>
    <col min="2" max="2" width="9.5546875" style="8" bestFit="1" customWidth="1"/>
    <col min="3" max="3" width="9.33203125" style="8" customWidth="1"/>
    <col min="4" max="4" width="62" style="8" customWidth="1"/>
    <col min="5" max="5" width="11.6640625" style="8" customWidth="1"/>
    <col min="6" max="6" width="12.6640625" style="8" bestFit="1" customWidth="1"/>
    <col min="7" max="7" width="8.88671875" style="8" customWidth="1"/>
    <col min="8" max="8" width="9.77734375" style="8" bestFit="1" customWidth="1"/>
    <col min="9" max="9" width="8.88671875" style="8" customWidth="1"/>
    <col min="10" max="10" width="9.77734375" style="8" bestFit="1" customWidth="1"/>
    <col min="11" max="11" width="8.88671875" style="8"/>
    <col min="12" max="12" width="9.77734375" style="8" bestFit="1" customWidth="1"/>
    <col min="13" max="13" width="7.88671875" style="8" bestFit="1" customWidth="1"/>
    <col min="14" max="16384" width="8.77734375" style="55"/>
  </cols>
  <sheetData>
    <row r="1" spans="2:15" s="8" customFormat="1" ht="30" customHeight="1" thickTop="1" thickBot="1">
      <c r="B1" s="253" t="s">
        <v>267</v>
      </c>
      <c r="C1" s="254" t="s">
        <v>268</v>
      </c>
      <c r="D1" s="254"/>
      <c r="E1" s="254" t="s">
        <v>299</v>
      </c>
      <c r="F1" s="254" t="s">
        <v>53</v>
      </c>
      <c r="G1" s="254"/>
      <c r="H1" s="254" t="s">
        <v>269</v>
      </c>
      <c r="I1" s="254"/>
      <c r="J1" s="254" t="s">
        <v>4</v>
      </c>
      <c r="K1" s="254"/>
      <c r="L1" s="254" t="s">
        <v>270</v>
      </c>
      <c r="M1" s="255" t="s">
        <v>271</v>
      </c>
      <c r="N1" s="47"/>
      <c r="O1" s="47"/>
    </row>
    <row r="2" spans="2:15" ht="19.95" customHeight="1" thickTop="1" thickBot="1">
      <c r="B2" s="259"/>
      <c r="C2" s="260">
        <f>IF('Entity assessment'!D111="Yes", 1, 0)</f>
        <v>0</v>
      </c>
      <c r="D2" s="261" t="s">
        <v>294</v>
      </c>
      <c r="E2" s="8" t="s">
        <v>300</v>
      </c>
      <c r="F2" s="260" t="s">
        <v>271</v>
      </c>
      <c r="G2" s="260"/>
      <c r="H2" s="260" t="s">
        <v>271</v>
      </c>
      <c r="I2" s="260"/>
      <c r="J2" s="260" t="s">
        <v>271</v>
      </c>
      <c r="K2" s="260"/>
      <c r="L2" s="257">
        <f>IF(AND(M2=0, OR(G6=1,I5=1, I9=1, K11=1, K12=1, I8=1)), 1, 0)</f>
        <v>0</v>
      </c>
      <c r="M2" s="258">
        <f>IF(OR(K3=1,K5=1, K4=1, K8=1, K9=1, K6=1, K7=1, 'Entity assessment'!D153="Yes",
    AND(C2=1, 'Entity assessment'!D152="Yes")
), 1, 0)</f>
        <v>0</v>
      </c>
    </row>
    <row r="3" spans="2:15" ht="19.95" customHeight="1" thickTop="1">
      <c r="B3" s="256">
        <v>1</v>
      </c>
      <c r="C3" s="257">
        <f>IF('Entity assessment'!D104="Yes", 1, 0)</f>
        <v>0</v>
      </c>
      <c r="D3" s="257" t="s">
        <v>295</v>
      </c>
      <c r="E3" s="257"/>
      <c r="F3" s="257" t="s">
        <v>271</v>
      </c>
      <c r="G3" s="257"/>
      <c r="H3" s="257" t="s">
        <v>271</v>
      </c>
      <c r="I3" s="257"/>
      <c r="J3" s="257" t="s">
        <v>271</v>
      </c>
      <c r="K3" s="257">
        <f>IF(AND(C3=1, 'Entity assessment'!D150="Yes"), 1, 0)</f>
        <v>0</v>
      </c>
      <c r="L3" s="55"/>
      <c r="M3" s="55"/>
      <c r="N3" s="252"/>
      <c r="O3" s="252"/>
    </row>
    <row r="4" spans="2:15" ht="30" customHeight="1">
      <c r="B4" s="259">
        <v>2</v>
      </c>
      <c r="C4" s="260">
        <f>IF(
   COUNTIF('Entity assessment'!D98,"Yes")
  +COUNTIF('Entity assessment'!D99,"Yes")&gt;0,
1,0)</f>
        <v>0</v>
      </c>
      <c r="D4" s="260" t="s">
        <v>287</v>
      </c>
      <c r="F4" s="260" t="s">
        <v>271</v>
      </c>
      <c r="G4" s="260"/>
      <c r="H4" s="260" t="s">
        <v>271</v>
      </c>
      <c r="I4" s="260"/>
      <c r="J4" s="260" t="s">
        <v>271</v>
      </c>
      <c r="K4" s="260">
        <f>IF(AND(C4=1, 'Entity assessment'!D151="Yes"), 1, 0)</f>
        <v>0</v>
      </c>
      <c r="L4" s="260"/>
      <c r="M4" s="260"/>
      <c r="N4" s="252"/>
      <c r="O4" s="252"/>
    </row>
    <row r="5" spans="2:15" ht="19.95" customHeight="1">
      <c r="B5" s="269">
        <v>3</v>
      </c>
      <c r="C5" s="270">
        <f>IF('Entity assessment'!D103="Yes", 1, 0)</f>
        <v>0</v>
      </c>
      <c r="D5" s="270" t="s">
        <v>297</v>
      </c>
      <c r="E5" s="47"/>
      <c r="F5" s="270" t="s">
        <v>270</v>
      </c>
      <c r="G5" s="270"/>
      <c r="H5" s="270" t="s">
        <v>270</v>
      </c>
      <c r="I5" s="270">
        <f>IF(AND(C5=1, OR('Entity assessment'!D21="Small and micro", 'Entity assessment'!D21="Medium"), 'Entity assessment'!D150="Yes"), 1, 0)</f>
        <v>0</v>
      </c>
      <c r="J5" s="270" t="s">
        <v>271</v>
      </c>
      <c r="K5" s="270">
        <f>IF(AND(C5=1, 'Entity assessment'!D21="Large", 'Entity assessment'!D150="Yes"), 1, 0)</f>
        <v>0</v>
      </c>
      <c r="L5" s="270"/>
      <c r="M5" s="483"/>
      <c r="N5" s="252"/>
      <c r="O5" s="252"/>
    </row>
    <row r="6" spans="2:15" ht="30" customHeight="1">
      <c r="B6" s="259">
        <v>4</v>
      </c>
      <c r="C6" s="260">
        <f>IF(
   COUNTIF('Entity assessment'!D105,"Yes")
  +COUNTIF('Entity assessment'!D106,"Yes")&gt;0,
1,0)</f>
        <v>0</v>
      </c>
      <c r="D6" s="260" t="s">
        <v>272</v>
      </c>
      <c r="E6" s="260"/>
      <c r="F6" s="260" t="s">
        <v>270</v>
      </c>
      <c r="G6" s="260">
        <f>IF(AND(C6=1, 'Entity assessment'!D21="Small and micro", 'Entity assessment'!D159="Yes"), 1, 0)</f>
        <v>0</v>
      </c>
      <c r="H6" s="260" t="s">
        <v>271</v>
      </c>
      <c r="I6" s="260"/>
      <c r="J6" s="260" t="s">
        <v>271</v>
      </c>
      <c r="K6" s="260">
        <f>IF(AND(C6=1, OR('Entity assessment'!D21="Large", 'Entity assessment'!D21="Medium"), 'Entity assessment'!D159="Yes"), 1, 0)</f>
        <v>0</v>
      </c>
      <c r="L6" s="260"/>
      <c r="M6" s="262"/>
      <c r="N6" s="252"/>
      <c r="O6" s="252"/>
    </row>
    <row r="7" spans="2:15" ht="19.95" customHeight="1">
      <c r="B7" s="263">
        <v>6</v>
      </c>
      <c r="C7" s="264">
        <f>IF(
   COUNTIF('Entity assessment'!D109,"Yes")&gt;0,
1,0)</f>
        <v>0</v>
      </c>
      <c r="D7" s="264" t="s">
        <v>285</v>
      </c>
      <c r="E7" s="264"/>
      <c r="F7" s="264"/>
      <c r="G7" s="264"/>
      <c r="H7" s="264"/>
      <c r="I7" s="264"/>
      <c r="J7" s="264"/>
      <c r="K7" s="260">
        <f>IF(AND(C7=1, OR('Entity assessment'!D22="Large", 'Entity assessment'!D22="Medium"), 'Entity assessment'!D151="Yes"), 1, 0)</f>
        <v>0</v>
      </c>
      <c r="L7" s="264"/>
      <c r="M7" s="265"/>
      <c r="N7" s="252"/>
      <c r="O7" s="252"/>
    </row>
    <row r="8" spans="2:15" ht="57" customHeight="1">
      <c r="B8" s="259">
        <v>3</v>
      </c>
      <c r="C8" s="260">
        <f>IF(
   COUNTIF('Entity assessment'!D100,"Yes")
  +COUNTIF('Entity assessment'!D101,"Yes")
  +COUNTIF('Entity assessment'!D102,"Yes")
  +COUNTIF('Entity assessment'!D108,"Yes")&gt;0,
1,0)</f>
        <v>0</v>
      </c>
      <c r="D8" s="261" t="s">
        <v>289</v>
      </c>
      <c r="F8" s="260" t="s">
        <v>290</v>
      </c>
      <c r="G8" s="260">
        <f>IF(AND(C8=1, 'Entity assessment'!D21="Small and micro", 'Entity assessment'!D151="Yes"), 1, 0)</f>
        <v>0</v>
      </c>
      <c r="H8" s="260" t="s">
        <v>270</v>
      </c>
      <c r="I8" s="260">
        <f>IF(AND(C8=1, 'Entity assessment'!D21="Medium", 'Entity assessment'!D151="Yes"), 1, 0)</f>
        <v>0</v>
      </c>
      <c r="J8" s="260" t="s">
        <v>271</v>
      </c>
      <c r="K8" s="260">
        <f>IF(AND(C8=1, 'Entity assessment'!D21="Large", 'Entity assessment'!D151="Yes"), 1, 0)</f>
        <v>0</v>
      </c>
      <c r="L8" s="260"/>
      <c r="M8" s="260"/>
      <c r="N8" s="252"/>
      <c r="O8" s="252"/>
    </row>
    <row r="9" spans="2:15" ht="30.6" customHeight="1" thickBot="1">
      <c r="B9" s="259">
        <v>4</v>
      </c>
      <c r="C9" s="260">
        <f>IF(
   COUNTIF('Entity assessment'!D31:D56,"Yes")
  +COUNTIF('Entity assessment'!D59:D77,"Yes")
  +COUNTIF('Entity assessment'!D79:D83,"Yes")
  +COUNTIF('Entity assessment'!D85:D97,"Yes")
  +COUNTIF('Entity assessment'!D113,"Yes")&gt;0,
1,0)</f>
        <v>0</v>
      </c>
      <c r="D9" s="261" t="s">
        <v>296</v>
      </c>
      <c r="E9" s="260"/>
      <c r="F9" s="260" t="s">
        <v>298</v>
      </c>
      <c r="G9" s="260"/>
      <c r="H9" s="260" t="s">
        <v>270</v>
      </c>
      <c r="I9" s="260">
        <f>IF(AND(C9=1, 'Entity assessment'!D21="Medium", 'Entity assessment'!D150="Yes"), 1, 0)</f>
        <v>0</v>
      </c>
      <c r="J9" s="260" t="s">
        <v>271</v>
      </c>
      <c r="K9" s="260">
        <f>IF(AND(C9=1, 'Entity assessment'!D21="Large", 'Entity assessment'!D150="Yes"), 1, 0)</f>
        <v>0</v>
      </c>
      <c r="L9" s="260"/>
      <c r="M9" s="262"/>
      <c r="N9" s="252"/>
      <c r="O9" s="252"/>
    </row>
    <row r="10" spans="2:15" ht="19.95" customHeight="1" thickTop="1" thickBot="1">
      <c r="B10" s="266"/>
      <c r="C10" s="267" t="s">
        <v>273</v>
      </c>
      <c r="D10" s="267"/>
      <c r="E10" s="267"/>
      <c r="F10" s="267"/>
      <c r="G10" s="267"/>
      <c r="H10" s="267"/>
      <c r="I10" s="267"/>
      <c r="J10" s="267"/>
      <c r="K10" s="267"/>
      <c r="L10" s="267"/>
      <c r="M10" s="268"/>
      <c r="N10" s="252"/>
      <c r="O10" s="252"/>
    </row>
    <row r="11" spans="2:15" ht="19.95" customHeight="1" thickTop="1">
      <c r="B11" s="269">
        <v>7</v>
      </c>
      <c r="C11" s="270">
        <f>IF(
   COUNTIF('Entity assessment'!D116:D135,"Yes") + COUNTIF('Entity assessment'!D141,"Yes")&gt; 0,
   1, 0)</f>
        <v>0</v>
      </c>
      <c r="D11" s="270" t="s">
        <v>274</v>
      </c>
      <c r="E11" s="270"/>
      <c r="F11" s="270"/>
      <c r="G11" s="270"/>
      <c r="H11" s="270" t="s">
        <v>270</v>
      </c>
      <c r="I11" s="270"/>
      <c r="J11" s="270" t="s">
        <v>270</v>
      </c>
      <c r="K11" s="270">
        <f>IF(AND(C11=1, OR('Entity assessment'!D21="Large", 'Entity assessment'!D21="Medium"), 'Entity assessment'!D150="Yes"), 1, 0)</f>
        <v>0</v>
      </c>
      <c r="L11" s="270"/>
      <c r="M11" s="271"/>
      <c r="N11" s="252"/>
      <c r="O11" s="252"/>
    </row>
    <row r="12" spans="2:15" ht="32.4" customHeight="1" thickBot="1">
      <c r="B12" s="259">
        <v>8</v>
      </c>
      <c r="C12" s="260">
        <f>IF(
   COUNTIF('Entity assessment'!D137,"Yes")
  +COUNTIF('Entity assessment'!D138,"Yes")
  +COUNTIF('Entity assessment'!D139,"Yes")&gt;0,
1, 0)</f>
        <v>0</v>
      </c>
      <c r="D12" s="261" t="s">
        <v>288</v>
      </c>
      <c r="E12" s="260"/>
      <c r="F12" s="260"/>
      <c r="G12" s="260"/>
      <c r="H12" s="260"/>
      <c r="I12" s="260"/>
      <c r="J12" s="260"/>
      <c r="K12" s="260">
        <f>IF(AND(C11=1, OR('Entity assessment'!D21="Large", 'Entity assessment'!D21="Medium"), 'Entity assessment'!D151="Yes"), 1, 0)</f>
        <v>0</v>
      </c>
      <c r="L12" s="47"/>
      <c r="M12" s="260"/>
    </row>
    <row r="13" spans="2:15" ht="19.95" customHeight="1" thickTop="1" thickBot="1">
      <c r="B13" s="266" t="s">
        <v>275</v>
      </c>
      <c r="D13" s="260"/>
      <c r="E13" s="260"/>
      <c r="F13" s="260"/>
      <c r="G13" s="260"/>
      <c r="H13" s="260"/>
      <c r="I13" s="260"/>
      <c r="J13" s="260"/>
      <c r="K13" s="260"/>
      <c r="L13" s="55"/>
      <c r="M13" s="262"/>
      <c r="N13" s="252"/>
      <c r="O13" s="252"/>
    </row>
    <row r="14" spans="2:15" ht="19.95" customHeight="1" thickTop="1">
      <c r="D14" s="8" t="s">
        <v>291</v>
      </c>
      <c r="K14" s="47"/>
      <c r="L14" s="260">
        <f>IF(AND(G8=1, M2=0, M14=0, OR('Entity assessment'!D170="MEDIUM", 'Entity assessment'!D171="MEDIUM")), 1, 0)</f>
        <v>0</v>
      </c>
      <c r="M14" s="47">
        <f>IF(AND(C8=1, M2=0, 'Entity assessment'!D151="Yes", OR('Entity assessment'!D169="Yes", 'Entity assessment'!D172="Yes", 'Entity assessment'!D170="HIGH", 'Entity assessment'!D171="HIGH")), 1, 0)</f>
        <v>0</v>
      </c>
      <c r="N14" s="252"/>
      <c r="O14" s="252"/>
    </row>
    <row r="15" spans="2:15" ht="19.95" customHeight="1">
      <c r="B15" s="260" t="s">
        <v>282</v>
      </c>
      <c r="C15" s="260"/>
      <c r="D15" s="260" t="s">
        <v>292</v>
      </c>
      <c r="E15" s="260"/>
      <c r="F15" s="260"/>
      <c r="G15" s="260"/>
      <c r="H15" s="260"/>
      <c r="I15" s="260"/>
      <c r="J15" s="260"/>
      <c r="K15" s="260"/>
      <c r="L15" s="260">
        <f>IF(AND(OR(C9=1, C7=1), M15=0, M2=0, 'Entity assessment'!D150="Yes", OR('Entity assessment'!D170="MEDIUM", 'Entity assessment'!D171="MEDIUM")), 1, 0)</f>
        <v>0</v>
      </c>
      <c r="M15" s="262">
        <f>IF(AND(OR(C9=1, C7=1), M2=0, 'Entity assessment'!D150="Yes", OR('Entity assessment'!D169="Yes", 'Entity assessment'!D172="Yes", 'Entity assessment'!D170="HIGH", 'Entity assessment'!D171="HIGH")), 1, 0)</f>
        <v>0</v>
      </c>
      <c r="N15" s="252"/>
      <c r="O15" s="252"/>
    </row>
    <row r="16" spans="2:15" ht="19.95" customHeight="1" thickBot="1">
      <c r="B16" s="272" t="s">
        <v>283</v>
      </c>
      <c r="C16" s="272"/>
      <c r="D16" s="272">
        <v>1</v>
      </c>
      <c r="E16" s="272"/>
      <c r="F16" s="272"/>
      <c r="G16" s="272"/>
      <c r="H16" s="272"/>
      <c r="I16" s="272"/>
      <c r="J16" s="272"/>
      <c r="K16" s="272"/>
      <c r="L16" s="272">
        <f>IF(AND(C11=1, M16=0, 'Entity assessment'!D150="Yes",
    OR('Entity assessment'!D169="Yes", 'Entity assessment'!D170="MEDIUM", 'Entity assessment'!D170="HIGH", 'Entity assessment'!D171="MEDIUM", 'Entity assessment'!D171="HIGH"),
    SUM(K3:M15)=0
), 1, 0)</f>
        <v>0</v>
      </c>
      <c r="M16" s="273">
        <f>IF(AND(C11=1, 'Entity assessment'!D172="Yes", 'Entity assessment'!D150="Yes"), 1, 0)</f>
        <v>0</v>
      </c>
      <c r="N16" s="252"/>
      <c r="O16" s="252"/>
    </row>
    <row r="17" spans="2:15" ht="58.2" customHeight="1">
      <c r="D17" s="47"/>
      <c r="E17" s="489" t="s">
        <v>301</v>
      </c>
      <c r="F17" s="489" t="s">
        <v>302</v>
      </c>
      <c r="G17" s="489" t="s">
        <v>303</v>
      </c>
      <c r="H17" s="489" t="s">
        <v>304</v>
      </c>
      <c r="I17" s="489" t="s">
        <v>614</v>
      </c>
      <c r="J17" s="489" t="s">
        <v>635</v>
      </c>
      <c r="K17" s="47"/>
      <c r="L17" s="47">
        <f>IF(AND(C12=1, M17=0, L2=0, M2=0, 'Entity assessment'!D151="Da", OR('Entity assessment'!D170="MEDIU", 'Entity assessment'!D169="Da", 'Entity assessment'!D170="RIDICAT", 'Entity assessment'!D171="RIDICAT", 'Entity assessment'!D171="MEDIU")), 1, 0)</f>
        <v>0</v>
      </c>
      <c r="M17" s="47">
        <f>IF(AND(C12=1, 'Entity assessment'!D172="Da", 'Entity assessment'!D151="Da"), 1, 0)</f>
        <v>0</v>
      </c>
      <c r="N17" s="252"/>
    </row>
    <row r="18" spans="2:15" ht="19.95" customHeight="1">
      <c r="C18" s="55"/>
      <c r="D18" s="490" t="s">
        <v>286</v>
      </c>
      <c r="E18" s="47">
        <f>IF(AND(
    OR(C2=1, C3=1, C4=1, C5=1, C7=1, C8=1, C9=1, C11=1, C12=1),
    'Entity assessment'!D150="Select"
), 1, 0)</f>
        <v>0</v>
      </c>
      <c r="F18" s="47">
        <f>IF(AND(
    OR(C4=1, C7=1, C8=1, C12=1),
    'Entity assessment'!D151="Select"
), 1, 0)</f>
        <v>0</v>
      </c>
      <c r="G18" s="47">
        <f>IF(AND(C2=1, 'Entity assessment'!D152="Select"), 1, 0)</f>
        <v>0</v>
      </c>
      <c r="H18" s="47">
        <f>IF(AND(OR(C6=1, C4=1), 'Entity assessment'!D159="Select"), 1, 0)</f>
        <v>0</v>
      </c>
      <c r="I18" s="47">
        <f>IF(AND(OR(C5=1, C6=1, C7=1, C8=1, C9=1, C11=1, C12=1), 'Entity assessment'!D21="Select"), 1, 0)</f>
        <v>0</v>
      </c>
      <c r="J18" s="47">
        <f>IF(AND('Entity assessment'!C166="Perform the impact assessment in accordance with DNSC Director's Order No. 2/2025.", OR('Entity assessment'!D169="Select", 'Entity assessment'!D170="Select", 'Entity assessment'!D171="Select", 'Entity assessment'!D172="Select")), 1, 0)</f>
        <v>0</v>
      </c>
      <c r="K18" s="47"/>
      <c r="L18" s="55"/>
      <c r="M18" s="55"/>
      <c r="N18" s="252"/>
    </row>
    <row r="19" spans="2:15" ht="19.95" customHeight="1">
      <c r="C19" s="47"/>
      <c r="D19" s="47"/>
      <c r="E19" s="47"/>
      <c r="F19" s="47"/>
      <c r="G19" s="47"/>
      <c r="H19" s="47"/>
      <c r="I19" s="47"/>
      <c r="J19" s="47"/>
      <c r="K19" s="47"/>
      <c r="L19" s="55"/>
      <c r="M19" s="55"/>
      <c r="N19" s="252"/>
    </row>
    <row r="20" spans="2:15" ht="16.8" customHeight="1">
      <c r="D20" s="47"/>
      <c r="E20" s="47"/>
      <c r="F20" s="47"/>
      <c r="G20" s="47"/>
      <c r="H20" s="47"/>
      <c r="I20" s="47"/>
      <c r="J20" s="47"/>
      <c r="K20" s="47"/>
      <c r="L20" s="55"/>
      <c r="M20" s="55"/>
      <c r="O20" s="252"/>
    </row>
    <row r="21" spans="2:15" ht="19.95" customHeight="1">
      <c r="C21" s="47"/>
      <c r="D21" s="47"/>
      <c r="E21" s="47"/>
      <c r="F21" s="47"/>
      <c r="G21" s="47"/>
      <c r="H21" s="47"/>
      <c r="I21" s="47"/>
      <c r="J21" s="47"/>
      <c r="K21" s="47"/>
      <c r="L21" s="47"/>
      <c r="M21" s="47"/>
      <c r="O21" s="252"/>
    </row>
    <row r="22" spans="2:15" ht="19.95" customHeight="1">
      <c r="O22" s="252"/>
    </row>
    <row r="23" spans="2:15" ht="19.95" customHeight="1">
      <c r="B23" s="55"/>
      <c r="C23" s="55"/>
      <c r="D23" s="55"/>
      <c r="E23" s="55"/>
      <c r="F23" s="55"/>
      <c r="G23" s="55"/>
      <c r="H23" s="55"/>
      <c r="I23" s="55"/>
      <c r="J23" s="55"/>
      <c r="K23" s="55"/>
      <c r="L23" s="55"/>
      <c r="M23" s="55"/>
    </row>
    <row r="24" spans="2:15" ht="19.95" customHeight="1">
      <c r="B24" s="55"/>
      <c r="C24" s="55"/>
      <c r="D24" s="55"/>
      <c r="E24" s="55"/>
      <c r="F24" s="55"/>
      <c r="G24" s="55"/>
      <c r="H24" s="55"/>
      <c r="I24" s="55"/>
      <c r="J24" s="55"/>
      <c r="K24" s="55"/>
      <c r="L24" s="55"/>
      <c r="M24" s="55"/>
    </row>
    <row r="25" spans="2:15" ht="19.95" customHeight="1">
      <c r="B25" s="55"/>
      <c r="C25" s="55"/>
      <c r="D25" s="55"/>
      <c r="E25" s="55"/>
      <c r="F25" s="55"/>
      <c r="G25" s="55"/>
      <c r="H25" s="55"/>
      <c r="I25" s="55"/>
      <c r="J25" s="55"/>
      <c r="K25" s="55"/>
      <c r="L25" s="55"/>
      <c r="M25" s="55"/>
    </row>
  </sheetData>
  <sheetProtection algorithmName="SHA-512" hashValue="R3oVIPosKW3zHMc0muFzXzhUPwPQ7OBrSxQJDhIgDoveC3JjXIQR3sUKEy5LZssrsfG/LHe2C1OcLMb9mMIiMw==" saltValue="JmW1U1JIk/CGaSkkVhdxQA==" spinCount="100000" sheet="1" selectLockedCells="1" selectUnlockedCell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FDA6B0AE15F7418FF3ABB5E9DEB40F" ma:contentTypeVersion="13" ma:contentTypeDescription="Create a new document." ma:contentTypeScope="" ma:versionID="0eac2c131c39b48d0d2aa03c9438b02e">
  <xsd:schema xmlns:xsd="http://www.w3.org/2001/XMLSchema" xmlns:xs="http://www.w3.org/2001/XMLSchema" xmlns:p="http://schemas.microsoft.com/office/2006/metadata/properties" xmlns:ns2="b178268d-1cb6-4de7-a048-48384ec0531b" xmlns:ns3="2e43ca80-eab2-4e14-9413-3a6c652f09f7" targetNamespace="http://schemas.microsoft.com/office/2006/metadata/properties" ma:root="true" ma:fieldsID="47d61d8a28d8db1894b95c9b2661768e" ns2:_="" ns3:_="">
    <xsd:import namespace="b178268d-1cb6-4de7-a048-48384ec0531b"/>
    <xsd:import namespace="2e43ca80-eab2-4e14-9413-3a6c652f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78268d-1cb6-4de7-a048-48384ec053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55b9894-8878-49cc-8b9c-147bbc745837"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e43ca80-eab2-4e14-9413-3a6c652f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b9bf290-0368-4a78-bb37-bc2e0e258979}" ma:internalName="TaxCatchAll" ma:showField="CatchAllData" ma:web="2e43ca80-eab2-4e14-9413-3a6c652f09f7">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e43ca80-eab2-4e14-9413-3a6c652f09f7" xsi:nil="true"/>
    <lcf76f155ced4ddcb4097134ff3c332f xmlns="b178268d-1cb6-4de7-a048-48384ec0531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B366F7-EF75-41A0-A3BF-8B3F319FFC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78268d-1cb6-4de7-a048-48384ec0531b"/>
    <ds:schemaRef ds:uri="2e43ca80-eab2-4e14-9413-3a6c652f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3CC08A-DE12-4CB1-A4C9-1BBDDEB47EF3}">
  <ds:schemaRefs>
    <ds:schemaRef ds:uri="http://purl.org/dc/dcmitype/"/>
    <ds:schemaRef ds:uri="b178268d-1cb6-4de7-a048-48384ec0531b"/>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http://purl.org/dc/elements/1.1/"/>
    <ds:schemaRef ds:uri="http://schemas.microsoft.com/office/infopath/2007/PartnerControls"/>
    <ds:schemaRef ds:uri="2e43ca80-eab2-4e14-9413-3a6c652f09f7"/>
    <ds:schemaRef ds:uri="http://purl.org/dc/terms/"/>
  </ds:schemaRefs>
</ds:datastoreItem>
</file>

<file path=customXml/itemProps3.xml><?xml version="1.0" encoding="utf-8"?>
<ds:datastoreItem xmlns:ds="http://schemas.openxmlformats.org/officeDocument/2006/customXml" ds:itemID="{DAD6175A-8484-430C-9493-25153D552D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User instructions</vt:lpstr>
      <vt:lpstr>Entity data</vt:lpstr>
      <vt:lpstr>Entity assessment</vt:lpstr>
      <vt:lpstr>Notification form</vt:lpstr>
      <vt:lpstr>Liste</vt:lpstr>
      <vt:lpstr>Ajutor</vt:lpstr>
      <vt:lpstr>Algoritm clasificare</vt:lpstr>
      <vt:lpstr>'Algoritm clasificare'!Print_Area</vt:lpstr>
      <vt:lpstr>'Entity assessment'!Print_Area</vt:lpstr>
      <vt:lpstr>'Entity data'!Print_Area</vt:lpstr>
      <vt:lpstr>Introduction!Print_Area</vt:lpstr>
      <vt:lpstr>'Notification form'!Print_Area</vt:lpstr>
      <vt:lpstr>'User instructions'!Print_Area</vt:lpstr>
    </vt:vector>
  </TitlesOfParts>
  <Manager/>
  <Company>DNSC/DGRC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EDANIS@RO</dc:title>
  <dc:subject/>
  <dc:creator>constantin.calin@dnsc.ro</dc:creator>
  <cp:keywords/>
  <dc:description/>
  <cp:lastModifiedBy>Gabriel Niculescu</cp:lastModifiedBy>
  <cp:revision/>
  <cp:lastPrinted>2025-08-07T14:52:50Z</cp:lastPrinted>
  <dcterms:created xsi:type="dcterms:W3CDTF">2020-09-21T12:38:47Z</dcterms:created>
  <dcterms:modified xsi:type="dcterms:W3CDTF">2025-09-15T12:03:54Z</dcterms:modified>
  <cp:category>EVIDENȚĂ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0x010100DAFDA6B0AE15F7418FF3ABB5E9DEB40F</vt:lpwstr>
  </property>
  <property fmtid="{D5CDD505-2E9C-101B-9397-08002B2CF9AE}" pid="3" name="Order">
    <vt:r8>20400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